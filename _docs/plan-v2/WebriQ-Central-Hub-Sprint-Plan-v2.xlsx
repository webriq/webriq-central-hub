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Sprint Plan" sheetId="2" state="visible" r:id="rId2"/>
    <sheet name="Milestones &amp; ACs" sheetId="3" state="visible" r:id="rId3"/>
    <sheet name="Timeline" sheetId="4" state="visible" r:id="rId4"/>
    <sheet name="Open Items" sheetId="5" state="visible" r:id="rId5"/>
  </sheets>
  <definedNames>
    <definedName name="_xlnm._FilterDatabase" localSheetId="1" hidden="1">'Sprint Plan'!$A$4:$J$83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172A"/>
      <sz val="16"/>
    </font>
    <font>
      <name val="Arial"/>
      <charset val="1"/>
      <family val="0"/>
      <i val="1"/>
      <color rgb="FF64748B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color rgb="FFDC2626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9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DC2626"/>
      <sz val="10"/>
    </font>
  </fonts>
  <fills count="18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34155"/>
        <bgColor rgb="FF475569"/>
      </patternFill>
    </fill>
    <fill>
      <patternFill patternType="solid">
        <fgColor rgb="FF2563EB"/>
        <bgColor rgb="FF0066CC"/>
      </patternFill>
    </fill>
    <fill>
      <patternFill patternType="solid">
        <fgColor rgb="FF0D9488"/>
        <bgColor rgb="FF008080"/>
      </patternFill>
    </fill>
    <fill>
      <patternFill patternType="solid">
        <fgColor rgb="FFEA580C"/>
        <bgColor rgb="FFDC2626"/>
      </patternFill>
    </fill>
    <fill>
      <patternFill patternType="solid">
        <fgColor rgb="FF9333EA"/>
        <bgColor rgb="FF993366"/>
      </patternFill>
    </fill>
    <fill>
      <patternFill patternType="solid">
        <fgColor rgb="FF64748B"/>
        <bgColor rgb="FF808080"/>
      </patternFill>
    </fill>
    <fill>
      <patternFill patternType="solid">
        <fgColor rgb="FF475569"/>
        <bgColor rgb="FF334155"/>
      </patternFill>
    </fill>
    <fill>
      <patternFill patternType="solid">
        <fgColor rgb="FF1E293B"/>
        <bgColor rgb="FF0F172A"/>
      </patternFill>
    </fill>
    <fill>
      <patternFill patternType="solid">
        <fgColor rgb="FFE2E8F0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CCFBF1"/>
        <bgColor rgb="FFDBEAFE"/>
      </patternFill>
    </fill>
    <fill>
      <patternFill patternType="solid">
        <fgColor rgb="FFFED7AA"/>
        <bgColor rgb="FFE9D5FF"/>
      </patternFill>
    </fill>
    <fill>
      <patternFill patternType="solid">
        <fgColor rgb="FFE9D5FF"/>
        <bgColor rgb="FFE2E8F0"/>
      </patternFill>
    </fill>
    <fill>
      <patternFill patternType="solid">
        <fgColor rgb="FFF1F5F9"/>
        <bgColor rgb="FFFFFFFF"/>
      </patternFill>
    </fill>
    <fill>
      <patternFill patternType="solid">
        <fgColor rgb="FFDC2626"/>
        <bgColor rgb="FFEA580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bottom"/>
    </xf>
    <xf numFmtId="0" fontId="10" fillId="6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vertical="bottom"/>
    </xf>
    <xf numFmtId="0" fontId="10" fillId="7" borderId="1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bottom"/>
    </xf>
    <xf numFmtId="0" fontId="13" fillId="17" borderId="0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13" fillId="5" borderId="0" applyAlignment="1" pivotButton="0" quotePrefix="0" xfId="0">
      <alignment horizontal="center" vertical="bottom"/>
    </xf>
    <xf numFmtId="0" fontId="13" fillId="6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bottom"/>
    </xf>
    <xf numFmtId="0" fontId="13" fillId="9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0" fontId="16" fillId="0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bottom"/>
    </xf>
    <xf numFmtId="0" fontId="10" fillId="6" borderId="1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vertical="bottom"/>
    </xf>
    <xf numFmtId="0" fontId="10" fillId="7" borderId="1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bottom"/>
    </xf>
    <xf numFmtId="0" fontId="13" fillId="17" borderId="0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13" fillId="5" borderId="0" applyAlignment="1" pivotButton="0" quotePrefix="0" xfId="0">
      <alignment horizontal="center" vertical="bottom"/>
    </xf>
    <xf numFmtId="0" fontId="13" fillId="6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bottom"/>
    </xf>
    <xf numFmtId="0" fontId="13" fillId="9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0" fontId="16" fillId="0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ill>
        <patternFill patternType="solid">
          <fgColor rgb="FF0D9488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9333EA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E9D5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9D5FF"/>
      <rgbColor rgb="FF808080"/>
      <rgbColor rgb="FF9999FF"/>
      <rgbColor rgb="FF9333EA"/>
      <rgbColor rgb="FFF1F5F9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FFF99"/>
      <rgbColor rgb="FF99CCFF"/>
      <rgbColor rgb="FFFF99CC"/>
      <rgbColor rgb="FFCC99FF"/>
      <rgbColor rgb="FFFED7AA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003366"/>
      <rgbColor rgb="FF339966"/>
      <rgbColor rgb="FF0F172A"/>
      <rgbColor rgb="FF475569"/>
      <rgbColor rgb="FF993300"/>
      <rgbColor rgb="FF993366"/>
      <rgbColor rgb="FF334155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8" min="1" max="1"/>
    <col width="22" customWidth="1" style="68" min="2" max="2"/>
    <col width="13" customWidth="1" style="68" min="3" max="3"/>
    <col width="11" customWidth="1" style="68" min="4" max="4"/>
    <col width="12" customWidth="1" style="68" min="5" max="5"/>
    <col width="52" customWidth="1" style="68" min="6" max="6"/>
    <col width="46" customWidth="1" style="68" min="7" max="7"/>
    <col width="12" customWidth="1" style="68" min="8" max="8"/>
    <col width="8" customWidth="1" style="68" min="9" max="9"/>
    <col width="11" customWidth="1" style="68" min="10" max="10"/>
  </cols>
  <sheetData>
    <row r="1" ht="19.7" customHeight="1" s="69">
      <c r="A1" s="70" t="inlineStr">
        <is>
          <t>WebriQ Central Hub v2.0 — Sprint Plan (All Phases)</t>
        </is>
      </c>
    </row>
    <row r="2" ht="15" customHeight="1" s="69">
      <c r="A2" s="71" t="inlineStr">
        <is>
          <t>Companion to Specification v2.0 · 2-week sprint cadence (Sprint 0 is a 3-week infrastructure sprint) · Status rolls up live from the Sprint Plan sheet</t>
        </is>
      </c>
    </row>
    <row r="4" ht="23.85" customHeight="1" s="69">
      <c r="A4" s="72" t="inlineStr">
        <is>
          <t>Phase</t>
        </is>
      </c>
      <c r="B4" s="72" t="inlineStr">
        <is>
          <t>Name</t>
        </is>
      </c>
      <c r="C4" s="72" t="inlineStr">
        <is>
          <t>Sprints</t>
        </is>
      </c>
      <c r="D4" s="72" t="inlineStr">
        <is>
          <t>Weeks</t>
        </is>
      </c>
      <c r="E4" s="72" t="inlineStr">
        <is>
          <t>Duration (wks)</t>
        </is>
      </c>
      <c r="F4" s="72" t="inlineStr">
        <is>
          <t>Goal</t>
        </is>
      </c>
      <c r="G4" s="72" t="inlineStr">
        <is>
          <t>Exit Condition</t>
        </is>
      </c>
      <c r="H4" s="72" t="inlineStr">
        <is>
          <t>Deliverables</t>
        </is>
      </c>
      <c r="I4" s="72" t="inlineStr">
        <is>
          <t>Done</t>
        </is>
      </c>
      <c r="J4" s="72" t="inlineStr">
        <is>
          <t>% Complete</t>
        </is>
      </c>
    </row>
    <row r="5" ht="35.05" customHeight="1" s="69">
      <c r="A5" s="73" t="inlineStr">
        <is>
          <t>Phase 0</t>
        </is>
      </c>
      <c r="B5" s="74" t="inlineStr">
        <is>
          <t>Infrastructure (0A + 0B)</t>
        </is>
      </c>
      <c r="C5" s="74" t="inlineStr">
        <is>
          <t>Sprints 0A–0B</t>
        </is>
      </c>
      <c r="D5" s="74" t="inlineStr">
        <is>
          <t>1–4</t>
        </is>
      </c>
      <c r="E5" s="74" t="n">
        <v>4</v>
      </c>
      <c r="F5" s="74" t="inlineStr">
        <is>
          <t>0A: full v2.0 schema on existing v0.1 DB (§10.6 codebase mapping), auth + role RLS matrix. 0B: event bus, realtime, PWA shell, Resend, KB seed (D24 split).</t>
        </is>
      </c>
      <c r="G5" s="74" t="inlineStr">
        <is>
          <t>0A: migrations green, existing flows still pass. 0B: dummy ticket -&gt; processed event &lt; 60s; shell installable on 3 platforms.</t>
        </is>
      </c>
      <c r="H5" s="75">
        <f>COUNTIF('Sprint Plan'!A:A,"Phase 0")</f>
        <v/>
      </c>
      <c r="I5" s="75">
        <f>COUNTIFS('Sprint Plan'!A:A,"Phase 0",'Sprint Plan'!J:J,"Done")</f>
        <v/>
      </c>
      <c r="J5" s="76">
        <f>IF(H5=0,0,I5/H5)</f>
        <v/>
      </c>
    </row>
    <row r="6" ht="23.85" customHeight="1" s="69">
      <c r="A6" s="77" t="inlineStr">
        <is>
          <t>Phase 1A</t>
        </is>
      </c>
      <c r="B6" s="74" t="inlineStr">
        <is>
          <t>PM + Desk Core</t>
        </is>
      </c>
      <c r="C6" s="74" t="inlineStr">
        <is>
          <t>Sprints 1–3</t>
        </is>
      </c>
      <c r="D6" s="74" t="inlineStr">
        <is>
          <t>5–10</t>
        </is>
      </c>
      <c r="E6" s="74" t="n">
        <v>6</v>
      </c>
      <c r="F6" s="74" t="inlineStr">
        <is>
          <t>The team's daily work surface: onboarding, native projects/tasks/time, client desk, classification, dev dashboard.</t>
        </is>
      </c>
      <c r="G6" s="74" t="inlineStr">
        <is>
          <t>AC1 + AC3 demonstrated; team can run a real project natively.</t>
        </is>
      </c>
      <c r="H6" s="75">
        <f>COUNTIF('Sprint Plan'!A:A,"Phase 1A")</f>
        <v/>
      </c>
      <c r="I6" s="75">
        <f>COUNTIFS('Sprint Plan'!A:A,"Phase 1A",'Sprint Plan'!J:J,"Done")</f>
        <v/>
      </c>
      <c r="J6" s="76">
        <f>IF(H6=0,0,I6/H6)</f>
        <v/>
      </c>
    </row>
    <row r="7" ht="23.85" customHeight="1" s="69">
      <c r="A7" s="78" t="inlineStr">
        <is>
          <t>Phase 1B</t>
        </is>
      </c>
      <c r="B7" s="74" t="inlineStr">
        <is>
          <t>HR Core</t>
        </is>
      </c>
      <c r="C7" s="74" t="inlineStr">
        <is>
          <t>Sprints 4–5</t>
        </is>
      </c>
      <c r="D7" s="74" t="inlineStr">
        <is>
          <t>11–14</t>
        </is>
      </c>
      <c r="E7" s="74" t="n">
        <v>4</v>
      </c>
      <c r="F7" s="74" t="inlineStr">
        <is>
          <t>Attendance, leaves, timesheets, announcements — full HR month can run natively.</t>
        </is>
      </c>
      <c r="G7" s="74" t="inlineStr">
        <is>
          <t>AC4 + AC5 demonstrated; HR sign-off on balances and derivation.</t>
        </is>
      </c>
      <c r="H7" s="75">
        <f>COUNTIF('Sprint Plan'!A:A,"Phase 1B")</f>
        <v/>
      </c>
      <c r="I7" s="75">
        <f>COUNTIFS('Sprint Plan'!A:A,"Phase 1B",'Sprint Plan'!J:J,"Done")</f>
        <v/>
      </c>
      <c r="J7" s="76">
        <f>IF(H7=0,0,I7/H7)</f>
        <v/>
      </c>
    </row>
    <row r="8" ht="23.85" customHeight="1" s="69">
      <c r="A8" s="79" t="inlineStr">
        <is>
          <t>Phase 1C</t>
        </is>
      </c>
      <c r="B8" s="74" t="inlineStr">
        <is>
          <t>AI Loop</t>
        </is>
      </c>
      <c r="C8" s="74" t="inlineStr">
        <is>
          <t>Sprints 6–8</t>
        </is>
      </c>
      <c r="D8" s="74" t="inlineStr">
        <is>
          <t>15–20</t>
        </is>
      </c>
      <c r="E8" s="74" t="n">
        <v>6</v>
      </c>
      <c r="F8" s="74" t="inlineStr">
        <is>
          <t>Assessment, digest, plans, execution + StackShift publish flow, reply, KB seed, unified AI chat, MVP stats page.</t>
        </is>
      </c>
      <c r="G8" s="74" t="inlineStr">
        <is>
          <t>AC2 + AC6 + AC7 demonstrated; M14 stats live; hardening green.</t>
        </is>
      </c>
      <c r="H8" s="75">
        <f>COUNTIF('Sprint Plan'!A:A,"Phase 1C")</f>
        <v/>
      </c>
      <c r="I8" s="75">
        <f>COUNTIFS('Sprint Plan'!A:A,"Phase 1C",'Sprint Plan'!J:J,"Done")</f>
        <v/>
      </c>
      <c r="J8" s="76">
        <f>IF(H8=0,0,I8/H8)</f>
        <v/>
      </c>
    </row>
    <row r="9" ht="23.85" customHeight="1" s="69">
      <c r="A9" s="80" t="inlineStr">
        <is>
          <t>Phase 1D</t>
        </is>
      </c>
      <c r="B9" s="74" t="inlineStr">
        <is>
          <t>Migration &amp; Cutover</t>
        </is>
      </c>
      <c r="C9" s="74" t="inlineStr">
        <is>
          <t>Sprint 9</t>
        </is>
      </c>
      <c r="D9" s="74" t="inlineStr">
        <is>
          <t>21–22</t>
        </is>
      </c>
      <c r="E9" s="74" t="n">
        <v>2</v>
      </c>
      <c r="F9" s="74" t="inlineStr">
        <is>
          <t>Module-by-module Zoho cutover (HR -&gt; Desk -&gt; Projects), training, MVP exit.</t>
        </is>
      </c>
      <c r="G9" s="74" t="inlineStr">
        <is>
          <t>All AC1–AC6 met; Zoho read-only; MVP exit sign-off.</t>
        </is>
      </c>
      <c r="H9" s="75">
        <f>COUNTIF('Sprint Plan'!A:A,"Phase 1D")</f>
        <v/>
      </c>
      <c r="I9" s="75">
        <f>COUNTIFS('Sprint Plan'!A:A,"Phase 1D",'Sprint Plan'!J:J,"Done")</f>
        <v/>
      </c>
      <c r="J9" s="76">
        <f>IF(H9=0,0,I9/H9)</f>
        <v/>
      </c>
    </row>
    <row r="10" ht="23.85" customHeight="1" s="69">
      <c r="A10" s="81" t="inlineStr">
        <is>
          <t>Phase 2</t>
        </is>
      </c>
      <c r="B10" s="74" t="inlineStr">
        <is>
          <t>Assisted Planning</t>
        </is>
      </c>
      <c r="C10" s="74" t="inlineStr">
        <is>
          <t>Sprints 10–13</t>
        </is>
      </c>
      <c r="D10" s="74" t="inlineStr">
        <is>
          <t>23–30</t>
        </is>
      </c>
      <c r="E10" s="74" t="n">
        <v>8</v>
      </c>
      <c r="F10" s="74" t="inlineStr">
        <is>
          <t>Automation toggle, expanded task types, chat actions, circuit breaker, reporting.</t>
        </is>
      </c>
      <c r="G10" s="74" t="inlineStr">
        <is>
          <t>20+ playbooks; classification accuracy &gt; 80%.</t>
        </is>
      </c>
      <c r="H10" s="75">
        <f>COUNTIF('Sprint Plan'!A:A,"Phase 2")</f>
        <v/>
      </c>
      <c r="I10" s="75">
        <f>COUNTIFS('Sprint Plan'!A:A,"Phase 2",'Sprint Plan'!J:J,"Done")</f>
        <v/>
      </c>
      <c r="J10" s="76">
        <f>IF(H10=0,0,I10/H10)</f>
        <v/>
      </c>
    </row>
    <row r="11" ht="23.85" customHeight="1" s="69">
      <c r="A11" s="82" t="inlineStr">
        <is>
          <t>Phase 3</t>
        </is>
      </c>
      <c r="B11" s="74" t="inlineStr">
        <is>
          <t>Supervised Autonomy</t>
        </is>
      </c>
      <c r="C11" s="74" t="inlineStr">
        <is>
          <t>Sprints 14–17</t>
        </is>
      </c>
      <c r="D11" s="74" t="inlineStr">
        <is>
          <t>31–38</t>
        </is>
      </c>
      <c r="E11" s="74" t="n">
        <v>8</v>
      </c>
      <c r="F11" s="74" t="inlineStr">
        <is>
          <t>Leave-aware round-robin, multi-dev, calibration, wiki health, gap closure.</t>
        </is>
      </c>
      <c r="G11" s="74" t="inlineStr">
        <is>
          <t>Confidence measurably improving; digest rating &gt; 75% Useful.</t>
        </is>
      </c>
      <c r="H11" s="75">
        <f>COUNTIF('Sprint Plan'!A:A,"Phase 3")</f>
        <v/>
      </c>
      <c r="I11" s="75">
        <f>COUNTIFS('Sprint Plan'!A:A,"Phase 3",'Sprint Plan'!J:J,"Done")</f>
        <v/>
      </c>
      <c r="J11" s="76">
        <f>IF(H11=0,0,I11/H11)</f>
        <v/>
      </c>
    </row>
    <row r="12" ht="15" customHeight="1" s="69">
      <c r="A12" s="83" t="inlineStr">
        <is>
          <t>Phase 4</t>
        </is>
      </c>
      <c r="B12" s="74" t="inlineStr">
        <is>
          <t>Autonomous Operations</t>
        </is>
      </c>
      <c r="C12" s="74" t="inlineStr">
        <is>
          <t>Sprint 18+</t>
        </is>
      </c>
      <c r="D12" s="74" t="inlineStr">
        <is>
          <t>39+ (TBD)</t>
        </is>
      </c>
      <c r="E12" s="74" t="inlineStr">
        <is>
          <t>TBD</t>
        </is>
      </c>
      <c r="F12" s="74" t="inlineStr">
        <is>
          <t>Trusted tiers, auto-reply window, fine-tuning export, PM handoff.</t>
        </is>
      </c>
      <c r="G12" s="74" t="inlineStr">
        <is>
          <t>One customer fully autonomous, 0 failures over 30 days.</t>
        </is>
      </c>
      <c r="H12" s="75">
        <f>COUNTIF('Sprint Plan'!A:A,"Phase 4")</f>
        <v/>
      </c>
      <c r="I12" s="75">
        <f>COUNTIFS('Sprint Plan'!A:A,"Phase 4",'Sprint Plan'!J:J,"Done")</f>
        <v/>
      </c>
      <c r="J12" s="76">
        <f>IF(H12=0,0,I12/H12)</f>
        <v/>
      </c>
    </row>
    <row r="13" ht="15" customHeight="1" s="69">
      <c r="A13" s="84" t="inlineStr">
        <is>
          <t>TOTAL</t>
        </is>
      </c>
      <c r="B13" s="85" t="n"/>
      <c r="C13" s="85" t="n"/>
      <c r="D13" s="85" t="n"/>
      <c r="E13" s="86">
        <f>SUM(E5:E9)+SUM(E10:E11)</f>
        <v/>
      </c>
      <c r="F13" s="87" t="inlineStr">
        <is>
          <t>Weeks 1–38 scheduled (Phase 4 TBD). MVP exit at end of Week 22.</t>
        </is>
      </c>
      <c r="G13" s="85" t="n"/>
      <c r="H13" s="86">
        <f>SUM(H5:H12)</f>
        <v/>
      </c>
      <c r="I13" s="86">
        <f>SUM(I5:I12)</f>
        <v/>
      </c>
      <c r="J13" s="88">
        <f>IF(H13=0,0,I13/H13)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8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68" min="1" max="1"/>
    <col width="10" customWidth="1" style="68" min="2" max="2"/>
    <col width="8" customWidth="1" style="68" min="3" max="3"/>
    <col width="11" customWidth="1" style="68" min="4" max="4"/>
    <col width="17" customWidth="1" style="68" min="5" max="5"/>
    <col width="62" customWidth="1" style="68" min="6" max="6"/>
    <col width="40" customWidth="1" style="68" min="7" max="7"/>
    <col width="11" customWidth="1" style="68" min="8" max="8"/>
    <col width="9" customWidth="1" style="68" min="9" max="9"/>
    <col width="12" customWidth="1" style="68" min="10" max="10"/>
  </cols>
  <sheetData>
    <row r="1" ht="19.7" customHeight="1" s="69">
      <c r="A1" s="70" t="inlineStr">
        <is>
          <t>Detailed Sprint Plan — all phases, one row per deliverable</t>
        </is>
      </c>
    </row>
    <row r="2" ht="15" customHeight="1" s="69">
      <c r="A2" s="71" t="inlineStr">
        <is>
          <t>Filter by Phase / Sprint / Module / Owner. Update Status to drive the Overview roll-up. Acceptance checks reference Spec v2.0 AC1–AC6.</t>
        </is>
      </c>
    </row>
    <row r="4" ht="23.85" customHeight="1" s="69">
      <c r="A4" s="72" t="inlineStr">
        <is>
          <t>Phase</t>
        </is>
      </c>
      <c r="B4" s="72" t="inlineStr">
        <is>
          <t>Sprint</t>
        </is>
      </c>
      <c r="C4" s="72" t="inlineStr">
        <is>
          <t>Weeks</t>
        </is>
      </c>
      <c r="D4" s="72" t="inlineStr">
        <is>
          <t>Milestone</t>
        </is>
      </c>
      <c r="E4" s="72" t="inlineStr">
        <is>
          <t>Module / Workstream</t>
        </is>
      </c>
      <c r="F4" s="72" t="inlineStr">
        <is>
          <t>Deliverable</t>
        </is>
      </c>
      <c r="G4" s="72" t="inlineStr">
        <is>
          <t>Acceptance Check / Notes</t>
        </is>
      </c>
      <c r="H4" s="72" t="inlineStr">
        <is>
          <t>Owner</t>
        </is>
      </c>
      <c r="I4" s="72" t="inlineStr">
        <is>
          <t>Priority</t>
        </is>
      </c>
      <c r="J4" s="72" t="inlineStr">
        <is>
          <t>Status</t>
        </is>
      </c>
    </row>
    <row r="5" ht="53.7" customHeight="1" s="69">
      <c r="A5" s="89" t="inlineStr">
        <is>
          <t>Phase 0</t>
        </is>
      </c>
      <c r="B5" s="90" t="inlineStr">
        <is>
          <t>Sprint 0A</t>
        </is>
      </c>
      <c r="C5" s="90" t="inlineStr">
        <is>
          <t>1–2</t>
        </is>
      </c>
      <c r="D5" s="90" t="inlineStr">
        <is>
          <t>—</t>
        </is>
      </c>
      <c r="E5" s="91" t="inlineStr">
        <is>
          <t>Infrastructure</t>
        </is>
      </c>
      <c r="F5" s="92" t="inlineStr">
        <is>
          <t>Supabase project + full v2.0 schema deployed: PM core (projects, tasks, task_comments, attachments, time_logs), Desk (tickets, ticket_messages), HR schema (hr.*, 9 tables), plumbing (event_bus, notifications, notification_preferences, push_subscriptions, audit_logs) + carried-forward AI tables</t>
        </is>
      </c>
      <c r="G5" s="92" t="inlineStr">
        <is>
          <t>Schema review signed off; stubs for future phases included to avoid migration debt</t>
        </is>
      </c>
      <c r="H5" s="92" t="inlineStr">
        <is>
          <t>Dev Lead</t>
        </is>
      </c>
      <c r="I5" s="93" t="inlineStr">
        <is>
          <t>Critical</t>
        </is>
      </c>
      <c r="J5" s="92" t="inlineStr">
        <is>
          <t>Not Started</t>
        </is>
      </c>
    </row>
    <row r="6" ht="22.35" customHeight="1" s="69">
      <c r="A6" s="89" t="inlineStr">
        <is>
          <t>Phase 0</t>
        </is>
      </c>
      <c r="B6" s="90" t="inlineStr">
        <is>
          <t>Sprint 0A</t>
        </is>
      </c>
      <c r="C6" s="90" t="inlineStr">
        <is>
          <t>1–2</t>
        </is>
      </c>
      <c r="D6" s="90" t="inlineStr">
        <is>
          <t>—</t>
        </is>
      </c>
      <c r="E6" s="91" t="inlineStr">
        <is>
          <t>Infrastructure</t>
        </is>
      </c>
      <c r="F6" s="92" t="inlineStr">
        <is>
          <t>Supabase Auth wired: staff email/password + magic link, client OTP; profiles table with role enum (admin/hr/pm/developer/client)</t>
        </is>
      </c>
      <c r="G6" s="92" t="inlineStr">
        <is>
          <t>Test user per role can log in</t>
        </is>
      </c>
      <c r="H6" s="92" t="inlineStr">
        <is>
          <t>Dev</t>
        </is>
      </c>
      <c r="I6" s="93" t="inlineStr">
        <is>
          <t>Critical</t>
        </is>
      </c>
      <c r="J6" s="92" t="inlineStr">
        <is>
          <t>Not Started</t>
        </is>
      </c>
    </row>
    <row r="7" ht="22.35" customHeight="1" s="69">
      <c r="A7" s="89" t="inlineStr">
        <is>
          <t>Phase 0</t>
        </is>
      </c>
      <c r="B7" s="90" t="inlineStr">
        <is>
          <t>Sprint 0A</t>
        </is>
      </c>
      <c r="C7" s="90" t="inlineStr">
        <is>
          <t>1–2</t>
        </is>
      </c>
      <c r="D7" s="90" t="inlineStr">
        <is>
          <t>—</t>
        </is>
      </c>
      <c r="E7" s="91" t="inlineStr">
        <is>
          <t>Security</t>
        </is>
      </c>
      <c r="F7" s="92" t="inlineStr">
        <is>
          <t>RLS policies v1 on every table; hr.* policies authored separately and independently reviewed (P9, D19)</t>
        </is>
      </c>
      <c r="G7" s="92" t="inlineStr">
        <is>
          <t>RLS test suite passes per role</t>
        </is>
      </c>
      <c r="H7" s="92" t="inlineStr">
        <is>
          <t>Dev Lead</t>
        </is>
      </c>
      <c r="I7" s="93" t="inlineStr">
        <is>
          <t>Critical</t>
        </is>
      </c>
      <c r="J7" s="92" t="inlineStr">
        <is>
          <t>Not Started</t>
        </is>
      </c>
    </row>
    <row r="8" ht="53.7" customHeight="1" s="69">
      <c r="A8" s="89" t="inlineStr">
        <is>
          <t>Phase 0</t>
        </is>
      </c>
      <c r="B8" s="90" t="inlineStr">
        <is>
          <t>Sprint 0A</t>
        </is>
      </c>
      <c r="C8" s="90" t="inlineStr">
        <is>
          <t>1–2</t>
        </is>
      </c>
      <c r="D8" s="90" t="inlineStr">
        <is>
          <t>—</t>
        </is>
      </c>
      <c r="E8" s="91" t="inlineStr">
        <is>
          <t>Codebase Migration</t>
        </is>
      </c>
      <c r="F8" s="92" t="inlineStr">
        <is>
          <t>Apply §10.6 mapping to existing v0.1 repo: rename customer_projects -&gt; projects (+ status, dedicated_developers, customer_product_id), widen classification_records.source enum to portal/email/manual/recurring, replace permissive RLS (migration 003) with full role matrix, retire api/webhooks + api/zoho + lib/zoho (keep for 1D import scripts only)</t>
        </is>
      </c>
      <c r="G8" s="92" t="inlineStr">
        <is>
          <t>Existing classification + onboarding flows still pass after migrations</t>
        </is>
      </c>
      <c r="H8" s="92" t="inlineStr">
        <is>
          <t>Dev Lead</t>
        </is>
      </c>
      <c r="I8" s="93" t="inlineStr">
        <is>
          <t>Critical</t>
        </is>
      </c>
      <c r="J8" s="92" t="inlineStr">
        <is>
          <t>Not Started</t>
        </is>
      </c>
    </row>
    <row r="9" ht="22.35" customHeight="1" s="69">
      <c r="A9" s="89" t="inlineStr">
        <is>
          <t>Phase 0</t>
        </is>
      </c>
      <c r="B9" s="90" t="inlineStr">
        <is>
          <t>Sprint 0A</t>
        </is>
      </c>
      <c r="C9" s="90" t="inlineStr">
        <is>
          <t>1–2</t>
        </is>
      </c>
      <c r="D9" s="90" t="inlineStr">
        <is>
          <t>—</t>
        </is>
      </c>
      <c r="E9" s="91" t="inlineStr">
        <is>
          <t>Pre-work</t>
        </is>
      </c>
      <c r="F9" s="92" t="inlineStr">
        <is>
          <t>Zoho API export access confirmed for Projects/Desk/People (O5) — exports scripted and tested on staging</t>
        </is>
      </c>
      <c r="G9" s="92" t="inlineStr">
        <is>
          <t>Dry-run export counts logged</t>
        </is>
      </c>
      <c r="H9" s="92" t="inlineStr">
        <is>
          <t>Admin</t>
        </is>
      </c>
      <c r="I9" s="93" t="inlineStr">
        <is>
          <t>Critical</t>
        </is>
      </c>
      <c r="J9" s="92" t="inlineStr">
        <is>
          <t>Not Started</t>
        </is>
      </c>
    </row>
    <row r="10" ht="22.35" customHeight="1" s="69">
      <c r="A10" s="89" t="inlineStr">
        <is>
          <t>Phase 0</t>
        </is>
      </c>
      <c r="B10" s="90" t="inlineStr">
        <is>
          <t>Sprint 0B</t>
        </is>
      </c>
      <c r="C10" s="90" t="inlineStr">
        <is>
          <t>3–4</t>
        </is>
      </c>
      <c r="D10" s="90" t="inlineStr">
        <is>
          <t>—</t>
        </is>
      </c>
      <c r="E10" s="91" t="inlineStr">
        <is>
          <t>Event Bus</t>
        </is>
      </c>
      <c r="F10" s="92" t="inlineStr">
        <is>
          <t>Internal event bus end-to-end: AFTER INSERT triggers on tickets/tasks -&gt; event_bus row -&gt; worker (pg_cron + pg_net, SKIP LOCKED) -&gt; handler stub</t>
        </is>
      </c>
      <c r="G10" s="92" t="inlineStr">
        <is>
          <t>Dummy ticket insert produces a processed event in &lt; 60s (replaces Zoho webhook AC)</t>
        </is>
      </c>
      <c r="H10" s="92" t="inlineStr">
        <is>
          <t>Dev</t>
        </is>
      </c>
      <c r="I10" s="93" t="inlineStr">
        <is>
          <t>Critical</t>
        </is>
      </c>
      <c r="J10" s="92" t="inlineStr">
        <is>
          <t>Not Started</t>
        </is>
      </c>
    </row>
    <row r="11" ht="22.35" customHeight="1" s="69">
      <c r="A11" s="89" t="inlineStr">
        <is>
          <t>Phase 0</t>
        </is>
      </c>
      <c r="B11" s="90" t="inlineStr">
        <is>
          <t>Sprint 0B</t>
        </is>
      </c>
      <c r="C11" s="90" t="inlineStr">
        <is>
          <t>3–4</t>
        </is>
      </c>
      <c r="D11" s="90" t="inlineStr">
        <is>
          <t>—</t>
        </is>
      </c>
      <c r="E11" s="91" t="inlineStr">
        <is>
          <t>AI Layer</t>
        </is>
      </c>
      <c r="F11" s="92" t="inlineStr">
        <is>
          <t>Vercel AI SDK + Claude API integrated; llm_config table seeded (Haiku/Sonnet per layer); llm_invocation_logs + per-customer cost attribution live from day one</t>
        </is>
      </c>
      <c r="G11" s="92" t="inlineStr">
        <is>
          <t>One logged Haiku call with tokens + cost recorded</t>
        </is>
      </c>
      <c r="H11" s="92" t="inlineStr">
        <is>
          <t>Dev</t>
        </is>
      </c>
      <c r="I11" s="92" t="inlineStr">
        <is>
          <t>High</t>
        </is>
      </c>
      <c r="J11" s="92" t="inlineStr">
        <is>
          <t>Not Started</t>
        </is>
      </c>
    </row>
    <row r="12" ht="32.8" customHeight="1" s="69">
      <c r="A12" s="89" t="inlineStr">
        <is>
          <t>Phase 0</t>
        </is>
      </c>
      <c r="B12" s="90" t="inlineStr">
        <is>
          <t>Sprint 0B</t>
        </is>
      </c>
      <c r="C12" s="90" t="inlineStr">
        <is>
          <t>3–4</t>
        </is>
      </c>
      <c r="D12" s="90" t="inlineStr">
        <is>
          <t>—</t>
        </is>
      </c>
      <c r="E12" s="91" t="inlineStr">
        <is>
          <t>Realtime</t>
        </is>
      </c>
      <c r="F12" s="92" t="inlineStr">
        <is>
          <t>Supabase Realtime enabled: Postgres Changes on tasks/tickets, Broadcast channel scheme (user:{id}, role:pm), Presence (team:attendance) — proof-of-concept hooks (D16)</t>
        </is>
      </c>
      <c r="G12" s="92" t="inlineStr">
        <is>
          <t>Live row change visible in test client &lt; 3s</t>
        </is>
      </c>
      <c r="H12" s="92" t="inlineStr">
        <is>
          <t>Dev</t>
        </is>
      </c>
      <c r="I12" s="92" t="inlineStr">
        <is>
          <t>High</t>
        </is>
      </c>
      <c r="J12" s="92" t="inlineStr">
        <is>
          <t>Not Started</t>
        </is>
      </c>
    </row>
    <row r="13" ht="22.35" customHeight="1" s="69">
      <c r="A13" s="89" t="inlineStr">
        <is>
          <t>Phase 0</t>
        </is>
      </c>
      <c r="B13" s="90" t="inlineStr">
        <is>
          <t>Sprint 0B</t>
        </is>
      </c>
      <c r="C13" s="90" t="inlineStr">
        <is>
          <t>3–4</t>
        </is>
      </c>
      <c r="D13" s="90" t="inlineStr">
        <is>
          <t>—</t>
        </is>
      </c>
      <c r="E13" s="91" t="inlineStr">
        <is>
          <t>PWA Shell</t>
        </is>
      </c>
      <c r="F13" s="92" t="inlineStr">
        <is>
          <t>Next.js 16.2.4 App Router (extend existing v0.1 shell) + Serwist service worker + manifest; installable shell on iOS/Android/desktop; app shell layout (sidebar / top bar / bottom tabs)</t>
        </is>
      </c>
      <c r="G13" s="92" t="inlineStr">
        <is>
          <t>Install prompt works on 3 platforms</t>
        </is>
      </c>
      <c r="H13" s="92" t="inlineStr">
        <is>
          <t>Dev</t>
        </is>
      </c>
      <c r="I13" s="92" t="inlineStr">
        <is>
          <t>High</t>
        </is>
      </c>
      <c r="J13" s="92" t="inlineStr">
        <is>
          <t>Not Started</t>
        </is>
      </c>
    </row>
    <row r="14" ht="22.35" customHeight="1" s="69">
      <c r="A14" s="89" t="inlineStr">
        <is>
          <t>Phase 0</t>
        </is>
      </c>
      <c r="B14" s="90" t="inlineStr">
        <is>
          <t>Sprint 0B</t>
        </is>
      </c>
      <c r="C14" s="90" t="inlineStr">
        <is>
          <t>3–4</t>
        </is>
      </c>
      <c r="D14" s="90" t="inlineStr">
        <is>
          <t>—</t>
        </is>
      </c>
      <c r="E14" s="91" t="inlineStr">
        <is>
          <t>Email</t>
        </is>
      </c>
      <c r="F14" s="92" t="inlineStr">
        <is>
          <t>Resend account + domain verified; React Email base templates; inbound route configured (parked until Sprint 3)</t>
        </is>
      </c>
      <c r="G14" s="92" t="inlineStr">
        <is>
          <t>Test transactional email delivered</t>
        </is>
      </c>
      <c r="H14" s="92" t="inlineStr">
        <is>
          <t>Dev</t>
        </is>
      </c>
      <c r="I14" s="92" t="inlineStr">
        <is>
          <t>Medium</t>
        </is>
      </c>
      <c r="J14" s="92" t="inlineStr">
        <is>
          <t>Not Started</t>
        </is>
      </c>
    </row>
    <row r="15" ht="22.35" customHeight="1" s="69">
      <c r="A15" s="89" t="inlineStr">
        <is>
          <t>Phase 0</t>
        </is>
      </c>
      <c r="B15" s="90" t="inlineStr">
        <is>
          <t>Sprint 0B</t>
        </is>
      </c>
      <c r="C15" s="90" t="inlineStr">
        <is>
          <t>3–4</t>
        </is>
      </c>
      <c r="D15" s="90" t="inlineStr">
        <is>
          <t>—</t>
        </is>
      </c>
      <c r="E15" s="91" t="inlineStr">
        <is>
          <t>Knowledge Base</t>
        </is>
      </c>
      <c r="F15" s="92" t="inlineStr">
        <is>
          <t>LLM Wiki structure in Supabase Storage; seed Internal KB content (product how-tos, shared Sanity schemas)</t>
        </is>
      </c>
      <c r="G15" s="92" t="inlineStr">
        <is>
          <t>Internal KB browsable in admin UI</t>
        </is>
      </c>
      <c r="H15" s="92" t="inlineStr">
        <is>
          <t>PM + Dev</t>
        </is>
      </c>
      <c r="I15" s="92" t="inlineStr">
        <is>
          <t>Medium</t>
        </is>
      </c>
      <c r="J15" s="92" t="inlineStr">
        <is>
          <t>Not Started</t>
        </is>
      </c>
    </row>
    <row r="16" ht="22.35" customHeight="1" s="69">
      <c r="A16" s="94" t="inlineStr">
        <is>
          <t>Phase 1A</t>
        </is>
      </c>
      <c r="B16" s="90" t="inlineStr">
        <is>
          <t>Sprint 1</t>
        </is>
      </c>
      <c r="C16" s="90" t="inlineStr">
        <is>
          <t>5–6</t>
        </is>
      </c>
      <c r="D16" s="90" t="inlineStr">
        <is>
          <t>M1</t>
        </is>
      </c>
      <c r="E16" s="95" t="inlineStr">
        <is>
          <t>Onboarding</t>
        </is>
      </c>
      <c r="F16" s="92" t="inlineStr">
        <is>
          <t>Customer creation flow; customer_id universal key; /onboard/{customer_id} tokenized login-free URL</t>
        </is>
      </c>
      <c r="G16" s="92" t="inlineStr">
        <is>
          <t>PM onboards a customer end-to-end in the Hub</t>
        </is>
      </c>
      <c r="H16" s="92" t="inlineStr">
        <is>
          <t>Dev</t>
        </is>
      </c>
      <c r="I16" s="93" t="inlineStr">
        <is>
          <t>Critical</t>
        </is>
      </c>
      <c r="J16" s="92" t="inlineStr">
        <is>
          <t>Not Started</t>
        </is>
      </c>
    </row>
    <row r="17" ht="32.8" customHeight="1" s="69">
      <c r="A17" s="94" t="inlineStr">
        <is>
          <t>Phase 1A</t>
        </is>
      </c>
      <c r="B17" s="90" t="inlineStr">
        <is>
          <t>Sprint 1</t>
        </is>
      </c>
      <c r="C17" s="90" t="inlineStr">
        <is>
          <t>5–6</t>
        </is>
      </c>
      <c r="D17" s="90" t="inlineStr">
        <is>
          <t>M1</t>
        </is>
      </c>
      <c r="E17" s="95" t="inlineStr">
        <is>
          <t>Onboarding</t>
        </is>
      </c>
      <c r="F17" s="92" t="inlineStr">
        <is>
          <t>Dynamic onboarding forms with conditional logic per product (StackShift / PublishForge / CiteForge / PipelineForge); progressive save/resume; file &amp; asset upload to Storage</t>
        </is>
      </c>
      <c r="G17" s="92" t="inlineStr">
        <is>
          <t>Form resumes with state intact after browser close</t>
        </is>
      </c>
      <c r="H17" s="92" t="inlineStr">
        <is>
          <t>Dev</t>
        </is>
      </c>
      <c r="I17" s="92" t="inlineStr">
        <is>
          <t>High</t>
        </is>
      </c>
      <c r="J17" s="92" t="inlineStr">
        <is>
          <t>Not Started</t>
        </is>
      </c>
    </row>
    <row r="18" ht="22.35" customHeight="1" s="69">
      <c r="A18" s="94" t="inlineStr">
        <is>
          <t>Phase 1A</t>
        </is>
      </c>
      <c r="B18" s="90" t="inlineStr">
        <is>
          <t>Sprint 1</t>
        </is>
      </c>
      <c r="C18" s="90" t="inlineStr">
        <is>
          <t>5–6</t>
        </is>
      </c>
      <c r="D18" s="90" t="inlineStr">
        <is>
          <t>M1</t>
        </is>
      </c>
      <c r="E18" s="95" t="inlineStr">
        <is>
          <t>Onboarding</t>
        </is>
      </c>
      <c r="F18" s="92" t="inlineStr">
        <is>
          <t>PM dashboard: completion % + missing-fields indicator; customer profile with product instance mapping</t>
        </is>
      </c>
      <c r="G18" s="92" t="inlineStr">
        <is>
          <t>—</t>
        </is>
      </c>
      <c r="H18" s="92" t="inlineStr">
        <is>
          <t>Dev</t>
        </is>
      </c>
      <c r="I18" s="92" t="inlineStr">
        <is>
          <t>High</t>
        </is>
      </c>
      <c r="J18" s="92" t="inlineStr">
        <is>
          <t>Not Started</t>
        </is>
      </c>
    </row>
    <row r="19" ht="22.35" customHeight="1" s="69">
      <c r="A19" s="94" t="inlineStr">
        <is>
          <t>Phase 1A</t>
        </is>
      </c>
      <c r="B19" s="90" t="inlineStr">
        <is>
          <t>Sprint 1</t>
        </is>
      </c>
      <c r="C19" s="90" t="inlineStr">
        <is>
          <t>5–6</t>
        </is>
      </c>
      <c r="D19" s="90" t="inlineStr">
        <is>
          <t>M7 (partial)</t>
        </is>
      </c>
      <c r="E19" s="95" t="inlineStr">
        <is>
          <t>Projects</t>
        </is>
      </c>
      <c r="F19" s="92" t="inlineStr">
        <is>
          <t>On onboarding completion the Hub auto-creates the native project (replaces Zoho Project creation)</t>
        </is>
      </c>
      <c r="G19" s="92" t="inlineStr">
        <is>
          <t>Project appears with correct customer_product link</t>
        </is>
      </c>
      <c r="H19" s="92" t="inlineStr">
        <is>
          <t>Dev</t>
        </is>
      </c>
      <c r="I19" s="92" t="inlineStr">
        <is>
          <t>High</t>
        </is>
      </c>
      <c r="J19" s="92" t="inlineStr">
        <is>
          <t>Not Started</t>
        </is>
      </c>
    </row>
    <row r="20" ht="22.35" customHeight="1" s="69">
      <c r="A20" s="94" t="inlineStr">
        <is>
          <t>Phase 1A</t>
        </is>
      </c>
      <c r="B20" s="90" t="inlineStr">
        <is>
          <t>Sprint 1</t>
        </is>
      </c>
      <c r="C20" s="90" t="inlineStr">
        <is>
          <t>5–6</t>
        </is>
      </c>
      <c r="D20" s="90" t="inlineStr">
        <is>
          <t>—</t>
        </is>
      </c>
      <c r="E20" s="95" t="inlineStr">
        <is>
          <t>Design</t>
        </is>
      </c>
      <c r="F20" s="92" t="inlineStr">
        <is>
          <t>Figma Make design system + Auth/Dashboard/Portal frames approved (design kit Prompts 1–4)</t>
        </is>
      </c>
      <c r="G20" s="92" t="inlineStr">
        <is>
          <t>Sign-off before Sprint 2 UI build</t>
        </is>
      </c>
      <c r="H20" s="92" t="inlineStr">
        <is>
          <t>PM + Design</t>
        </is>
      </c>
      <c r="I20" s="92" t="inlineStr">
        <is>
          <t>High</t>
        </is>
      </c>
      <c r="J20" s="92" t="inlineStr">
        <is>
          <t>Not Started</t>
        </is>
      </c>
    </row>
    <row r="21" ht="22.35" customHeight="1" s="69">
      <c r="A21" s="94" t="inlineStr">
        <is>
          <t>Phase 1A</t>
        </is>
      </c>
      <c r="B21" s="90" t="inlineStr">
        <is>
          <t>Sprint 2</t>
        </is>
      </c>
      <c r="C21" s="90" t="inlineStr">
        <is>
          <t>7–8</t>
        </is>
      </c>
      <c r="D21" s="90" t="inlineStr">
        <is>
          <t>M7</t>
        </is>
      </c>
      <c r="E21" s="95" t="inlineStr">
        <is>
          <t>Projects</t>
        </is>
      </c>
      <c r="F21" s="92" t="inlineStr">
        <is>
          <t>Native PM core: projects / milestones / tasks / subtasks CRUD; Kanban board (Backlog→Done) with drag-and-drop position; list + calendar views</t>
        </is>
      </c>
      <c r="G21" s="92" t="inlineStr">
        <is>
          <t>Board reorder persists and survives refresh</t>
        </is>
      </c>
      <c r="H21" s="92" t="inlineStr">
        <is>
          <t>Dev Lead</t>
        </is>
      </c>
      <c r="I21" s="93" t="inlineStr">
        <is>
          <t>Critical</t>
        </is>
      </c>
      <c r="J21" s="92" t="inlineStr">
        <is>
          <t>Not Started</t>
        </is>
      </c>
    </row>
    <row r="22" ht="22.35" customHeight="1" s="69">
      <c r="A22" s="94" t="inlineStr">
        <is>
          <t>Phase 1A</t>
        </is>
      </c>
      <c r="B22" s="90" t="inlineStr">
        <is>
          <t>Sprint 2</t>
        </is>
      </c>
      <c r="C22" s="90" t="inlineStr">
        <is>
          <t>7–8</t>
        </is>
      </c>
      <c r="D22" s="90" t="inlineStr">
        <is>
          <t>M7</t>
        </is>
      </c>
      <c r="E22" s="95" t="inlineStr">
        <is>
          <t>Projects</t>
        </is>
      </c>
      <c r="F22" s="92" t="inlineStr">
        <is>
          <t>Task detail: rich description (tiptap), priority, multi-assignee, due date, estimate, labels, linked ticket, comments, attachments</t>
        </is>
      </c>
      <c r="G22" s="92" t="inlineStr">
        <is>
          <t>—</t>
        </is>
      </c>
      <c r="H22" s="92" t="inlineStr">
        <is>
          <t>Dev</t>
        </is>
      </c>
      <c r="I22" s="92" t="inlineStr">
        <is>
          <t>High</t>
        </is>
      </c>
      <c r="J22" s="92" t="inlineStr">
        <is>
          <t>Not Started</t>
        </is>
      </c>
    </row>
    <row r="23" ht="22.35" customHeight="1" s="69">
      <c r="A23" s="94" t="inlineStr">
        <is>
          <t>Phase 1A</t>
        </is>
      </c>
      <c r="B23" s="90" t="inlineStr">
        <is>
          <t>Sprint 2</t>
        </is>
      </c>
      <c r="C23" s="90" t="inlineStr">
        <is>
          <t>7–8</t>
        </is>
      </c>
      <c r="D23" s="90" t="inlineStr">
        <is>
          <t>M7</t>
        </is>
      </c>
      <c r="E23" s="95" t="inlineStr">
        <is>
          <t>Realtime</t>
        </is>
      </c>
      <c r="F23" s="92" t="inlineStr">
        <is>
          <t>Live board + task updates via Postgres Changes (channel project:{id}); reconcile-on-reconnect hook pattern (P10)</t>
        </is>
      </c>
      <c r="G23" s="92" t="inlineStr">
        <is>
          <t>Second client sees a status change &lt; 3s</t>
        </is>
      </c>
      <c r="H23" s="92" t="inlineStr">
        <is>
          <t>Dev</t>
        </is>
      </c>
      <c r="I23" s="92" t="inlineStr">
        <is>
          <t>High</t>
        </is>
      </c>
      <c r="J23" s="92" t="inlineStr">
        <is>
          <t>Not Started</t>
        </is>
      </c>
    </row>
    <row r="24" ht="15" customHeight="1" s="69">
      <c r="A24" s="94" t="inlineStr">
        <is>
          <t>Phase 1A</t>
        </is>
      </c>
      <c r="B24" s="90" t="inlineStr">
        <is>
          <t>Sprint 2</t>
        </is>
      </c>
      <c r="C24" s="90" t="inlineStr">
        <is>
          <t>7–8</t>
        </is>
      </c>
      <c r="D24" s="90" t="inlineStr">
        <is>
          <t>M8</t>
        </is>
      </c>
      <c r="E24" s="95" t="inlineStr">
        <is>
          <t>Time Tracking</t>
        </is>
      </c>
      <c r="F24" s="92" t="inlineStr">
        <is>
          <t>Native time_logs: built-in task timer + manual entry; dev day/week hours summary</t>
        </is>
      </c>
      <c r="G24" s="92" t="inlineStr">
        <is>
          <t>Timer entry lands in time_logs with source=timer</t>
        </is>
      </c>
      <c r="H24" s="92" t="inlineStr">
        <is>
          <t>Dev</t>
        </is>
      </c>
      <c r="I24" s="92" t="inlineStr">
        <is>
          <t>High</t>
        </is>
      </c>
      <c r="J24" s="92" t="inlineStr">
        <is>
          <t>Not Started</t>
        </is>
      </c>
    </row>
    <row r="25" ht="15" customHeight="1" s="69">
      <c r="A25" s="94" t="inlineStr">
        <is>
          <t>Phase 1A</t>
        </is>
      </c>
      <c r="B25" s="90" t="inlineStr">
        <is>
          <t>Sprint 2</t>
        </is>
      </c>
      <c r="C25" s="90" t="inlineStr">
        <is>
          <t>7–8</t>
        </is>
      </c>
      <c r="D25" s="90" t="inlineStr">
        <is>
          <t>M8</t>
        </is>
      </c>
      <c r="E25" s="95" t="inlineStr">
        <is>
          <t>Time Tracking</t>
        </is>
      </c>
      <c r="F25" s="92" t="inlineStr">
        <is>
          <t>PM hours views: by developer / project / task / date range; CSV export</t>
        </is>
      </c>
      <c r="G25" s="92" t="inlineStr">
        <is>
          <t>Matches seeded fixture totals exactly</t>
        </is>
      </c>
      <c r="H25" s="92" t="inlineStr">
        <is>
          <t>Dev</t>
        </is>
      </c>
      <c r="I25" s="92" t="inlineStr">
        <is>
          <t>Medium</t>
        </is>
      </c>
      <c r="J25" s="92" t="inlineStr">
        <is>
          <t>Not Started</t>
        </is>
      </c>
    </row>
    <row r="26" ht="15" customHeight="1" s="69">
      <c r="A26" s="94" t="inlineStr">
        <is>
          <t>Phase 1A</t>
        </is>
      </c>
      <c r="B26" s="90" t="inlineStr">
        <is>
          <t>Sprint 2</t>
        </is>
      </c>
      <c r="C26" s="90" t="inlineStr">
        <is>
          <t>7–8</t>
        </is>
      </c>
      <c r="D26" s="90" t="inlineStr">
        <is>
          <t>M7</t>
        </is>
      </c>
      <c r="E26" s="95" t="inlineStr">
        <is>
          <t>Projects</t>
        </is>
      </c>
      <c r="F26" s="92" t="inlineStr">
        <is>
          <t>Recurring task templates instantiated by Supabase Cron</t>
        </is>
      </c>
      <c r="G26" s="92" t="inlineStr">
        <is>
          <t>Template fires on schedule once</t>
        </is>
      </c>
      <c r="H26" s="92" t="inlineStr">
        <is>
          <t>Dev</t>
        </is>
      </c>
      <c r="I26" s="92" t="inlineStr">
        <is>
          <t>Medium</t>
        </is>
      </c>
      <c r="J26" s="92" t="inlineStr">
        <is>
          <t>Not Started</t>
        </is>
      </c>
    </row>
    <row r="27" ht="22.35" customHeight="1" s="69">
      <c r="A27" s="94" t="inlineStr">
        <is>
          <t>Phase 1A</t>
        </is>
      </c>
      <c r="B27" s="90" t="inlineStr">
        <is>
          <t>Sprint 3</t>
        </is>
      </c>
      <c r="C27" s="90" t="inlineStr">
        <is>
          <t>9–10</t>
        </is>
      </c>
      <c r="D27" s="90" t="inlineStr">
        <is>
          <t>M2</t>
        </is>
      </c>
      <c r="E27" s="95" t="inlineStr">
        <is>
          <t>Desk</t>
        </is>
      </c>
      <c r="F27" s="92" t="inlineStr">
        <is>
          <t>Native ticketing: tickets + ticket_messages, statuses (NEW→CLOSED), SLA timestamps, internal notes visibility</t>
        </is>
      </c>
      <c r="G27" s="92" t="inlineStr">
        <is>
          <t>—</t>
        </is>
      </c>
      <c r="H27" s="92" t="inlineStr">
        <is>
          <t>Dev Lead</t>
        </is>
      </c>
      <c r="I27" s="93" t="inlineStr">
        <is>
          <t>Critical</t>
        </is>
      </c>
      <c r="J27" s="92" t="inlineStr">
        <is>
          <t>Not Started</t>
        </is>
      </c>
    </row>
    <row r="28" ht="22.35" customHeight="1" s="69">
      <c r="A28" s="94" t="inlineStr">
        <is>
          <t>Phase 1A</t>
        </is>
      </c>
      <c r="B28" s="90" t="inlineStr">
        <is>
          <t>Sprint 3</t>
        </is>
      </c>
      <c r="C28" s="90" t="inlineStr">
        <is>
          <t>9–10</t>
        </is>
      </c>
      <c r="D28" s="90" t="inlineStr">
        <is>
          <t>M2</t>
        </is>
      </c>
      <c r="E28" s="95" t="inlineStr">
        <is>
          <t>Desk</t>
        </is>
      </c>
      <c r="F28" s="92" t="inlineStr">
        <is>
          <t>Client portal: authenticated request submission (typed forms mapped to Task Taxonomy), attachments, request list + thread view, in-thread replies</t>
        </is>
      </c>
      <c r="G28" s="92" t="inlineStr">
        <is>
          <t>Client submits and replies from a phone</t>
        </is>
      </c>
      <c r="H28" s="92" t="inlineStr">
        <is>
          <t>Dev</t>
        </is>
      </c>
      <c r="I28" s="93" t="inlineStr">
        <is>
          <t>Critical</t>
        </is>
      </c>
      <c r="J28" s="92" t="inlineStr">
        <is>
          <t>Not Started</t>
        </is>
      </c>
    </row>
    <row r="29" ht="22.35" customHeight="1" s="69">
      <c r="A29" s="94" t="inlineStr">
        <is>
          <t>Phase 1A</t>
        </is>
      </c>
      <c r="B29" s="90" t="inlineStr">
        <is>
          <t>Sprint 3</t>
        </is>
      </c>
      <c r="C29" s="90" t="inlineStr">
        <is>
          <t>9–10</t>
        </is>
      </c>
      <c r="D29" s="90" t="inlineStr">
        <is>
          <t>M2</t>
        </is>
      </c>
      <c r="E29" s="95" t="inlineStr">
        <is>
          <t>Desk</t>
        </is>
      </c>
      <c r="F29" s="92" t="inlineStr">
        <is>
          <t>Email-to-ticket: Resend Inbound webhook -&gt; ticket/message creation; reply threading via email_message_id</t>
        </is>
      </c>
      <c r="G29" s="92" t="inlineStr">
        <is>
          <t>Email to support@ creates a threaded ticket</t>
        </is>
      </c>
      <c r="H29" s="92" t="inlineStr">
        <is>
          <t>Dev</t>
        </is>
      </c>
      <c r="I29" s="92" t="inlineStr">
        <is>
          <t>High</t>
        </is>
      </c>
      <c r="J29" s="92" t="inlineStr">
        <is>
          <t>Not Started</t>
        </is>
      </c>
    </row>
    <row r="30" ht="32.8" customHeight="1" s="69">
      <c r="A30" s="94" t="inlineStr">
        <is>
          <t>Phase 1A</t>
        </is>
      </c>
      <c r="B30" s="90" t="inlineStr">
        <is>
          <t>Sprint 3</t>
        </is>
      </c>
      <c r="C30" s="90" t="inlineStr">
        <is>
          <t>9–10</t>
        </is>
      </c>
      <c r="D30" s="90" t="inlineStr">
        <is>
          <t>M2</t>
        </is>
      </c>
      <c r="E30" s="95" t="inlineStr">
        <is>
          <t>AI Layer</t>
        </is>
      </c>
      <c r="F30" s="92" t="inlineStr">
        <is>
          <t>Classification engine always-on: event bus dispatches ticket.created/task.created -&gt; Haiku -&gt; classification_records (type, priority, llm_eligible, confidence); low-confidence surfaced for PM; manual reclassification UI</t>
        </is>
      </c>
      <c r="G30" s="92" t="inlineStr">
        <is>
          <t>AC1: portal request classified in Hub &lt; 60s</t>
        </is>
      </c>
      <c r="H30" s="92" t="inlineStr">
        <is>
          <t>Dev</t>
        </is>
      </c>
      <c r="I30" s="93" t="inlineStr">
        <is>
          <t>Critical</t>
        </is>
      </c>
      <c r="J30" s="92" t="inlineStr">
        <is>
          <t>Not Started</t>
        </is>
      </c>
    </row>
    <row r="31" ht="22.35" customHeight="1" s="69">
      <c r="A31" s="94" t="inlineStr">
        <is>
          <t>Phase 1A</t>
        </is>
      </c>
      <c r="B31" s="90" t="inlineStr">
        <is>
          <t>Sprint 3</t>
        </is>
      </c>
      <c r="C31" s="90" t="inlineStr">
        <is>
          <t>9–10</t>
        </is>
      </c>
      <c r="D31" s="90" t="inlineStr">
        <is>
          <t>M9</t>
        </is>
      </c>
      <c r="E31" s="95" t="inlineStr">
        <is>
          <t>Dev Dashboard</t>
        </is>
      </c>
      <c r="F31" s="92" t="inlineStr">
        <is>
          <t>Developer Today view: assigned tasks/tickets, overdue highlight, team unassigned pool with one-click self-assign (PM notified via Broadcast)</t>
        </is>
      </c>
      <c r="G31" s="92" t="inlineStr">
        <is>
          <t>AC3: self-assign fires realtime PM notification</t>
        </is>
      </c>
      <c r="H31" s="92" t="inlineStr">
        <is>
          <t>Dev</t>
        </is>
      </c>
      <c r="I31" s="92" t="inlineStr">
        <is>
          <t>High</t>
        </is>
      </c>
      <c r="J31" s="92" t="inlineStr">
        <is>
          <t>Not Started</t>
        </is>
      </c>
    </row>
    <row r="32" ht="22.35" customHeight="1" s="69">
      <c r="A32" s="94" t="inlineStr">
        <is>
          <t>Phase 1A</t>
        </is>
      </c>
      <c r="B32" s="90" t="inlineStr">
        <is>
          <t>Sprint 3</t>
        </is>
      </c>
      <c r="C32" s="90" t="inlineStr">
        <is>
          <t>9–10</t>
        </is>
      </c>
      <c r="D32" s="90" t="inlineStr">
        <is>
          <t>M2</t>
        </is>
      </c>
      <c r="E32" s="95" t="inlineStr">
        <is>
          <t>Notifications</t>
        </is>
      </c>
      <c r="F32" s="92" t="inlineStr">
        <is>
          <t>Notifications table + in-app inbox + toasts (Broadcast); high-priority classification alert flow; per-user preference matrix v1</t>
        </is>
      </c>
      <c r="G32" s="92" t="inlineStr">
        <is>
          <t>Unread badge + deep link work</t>
        </is>
      </c>
      <c r="H32" s="92" t="inlineStr">
        <is>
          <t>Dev</t>
        </is>
      </c>
      <c r="I32" s="92" t="inlineStr">
        <is>
          <t>High</t>
        </is>
      </c>
      <c r="J32" s="92" t="inlineStr">
        <is>
          <t>Not Started</t>
        </is>
      </c>
    </row>
    <row r="33" ht="22.35" customHeight="1" s="69">
      <c r="A33" s="96" t="inlineStr">
        <is>
          <t>Phase 1B</t>
        </is>
      </c>
      <c r="B33" s="90" t="inlineStr">
        <is>
          <t>Sprint 4</t>
        </is>
      </c>
      <c r="C33" s="90" t="inlineStr">
        <is>
          <t>11–12</t>
        </is>
      </c>
      <c r="D33" s="90" t="inlineStr">
        <is>
          <t>M11</t>
        </is>
      </c>
      <c r="E33" s="97" t="inlineStr">
        <is>
          <t>HR — Directory</t>
        </is>
      </c>
      <c r="F33" s="92" t="inlineStr">
        <is>
          <t>Employee directory + profiles (hr.employees), manager relationships, HR-only document storage (private bucket, signed URLs)</t>
        </is>
      </c>
      <c r="G33" s="92" t="inlineStr">
        <is>
          <t>HR role sees docs; PM/Dev cannot (RLS test)</t>
        </is>
      </c>
      <c r="H33" s="92" t="inlineStr">
        <is>
          <t>Dev Lead</t>
        </is>
      </c>
      <c r="I33" s="93" t="inlineStr">
        <is>
          <t>Critical</t>
        </is>
      </c>
      <c r="J33" s="92" t="inlineStr">
        <is>
          <t>Not Started</t>
        </is>
      </c>
    </row>
    <row r="34" ht="22.35" customHeight="1" s="69">
      <c r="A34" s="96" t="inlineStr">
        <is>
          <t>Phase 1B</t>
        </is>
      </c>
      <c r="B34" s="90" t="inlineStr">
        <is>
          <t>Sprint 4</t>
        </is>
      </c>
      <c r="C34" s="90" t="inlineStr">
        <is>
          <t>11–12</t>
        </is>
      </c>
      <c r="D34" s="90" t="inlineStr">
        <is>
          <t>M11</t>
        </is>
      </c>
      <c r="E34" s="97" t="inlineStr">
        <is>
          <t>HR — Attendance</t>
        </is>
      </c>
      <c r="F34" s="92" t="inlineStr">
        <is>
          <t>Web clock-in/out from PWA: hr.attendance_punches with timestamp, optional geo/IP per policy (O3), device fingerprint</t>
        </is>
      </c>
      <c r="G34" s="92" t="inlineStr">
        <is>
          <t>Punch from mobile recorded &lt; 2s</t>
        </is>
      </c>
      <c r="H34" s="92" t="inlineStr">
        <is>
          <t>Dev</t>
        </is>
      </c>
      <c r="I34" s="93" t="inlineStr">
        <is>
          <t>Critical</t>
        </is>
      </c>
      <c r="J34" s="92" t="inlineStr">
        <is>
          <t>Not Started</t>
        </is>
      </c>
    </row>
    <row r="35" ht="22.35" customHeight="1" s="69">
      <c r="A35" s="96" t="inlineStr">
        <is>
          <t>Phase 1B</t>
        </is>
      </c>
      <c r="B35" s="90" t="inlineStr">
        <is>
          <t>Sprint 4</t>
        </is>
      </c>
      <c r="C35" s="90" t="inlineStr">
        <is>
          <t>11–12</t>
        </is>
      </c>
      <c r="D35" s="90" t="inlineStr">
        <is>
          <t>M11</t>
        </is>
      </c>
      <c r="E35" s="97" t="inlineStr">
        <is>
          <t>HR — Attendance</t>
        </is>
      </c>
      <c r="F35" s="92" t="inlineStr">
        <is>
          <t>Offline punch queue: IndexedDB queue + sync-on-reconnect (D22); 'punch saved, will sync' state</t>
        </is>
      </c>
      <c r="G35" s="92" t="inlineStr">
        <is>
          <t>Airplane-mode punch syncs on reconnect</t>
        </is>
      </c>
      <c r="H35" s="92" t="inlineStr">
        <is>
          <t>Dev</t>
        </is>
      </c>
      <c r="I35" s="92" t="inlineStr">
        <is>
          <t>High</t>
        </is>
      </c>
      <c r="J35" s="92" t="inlineStr">
        <is>
          <t>Not Started</t>
        </is>
      </c>
    </row>
    <row r="36" ht="32.8" customHeight="1" s="69">
      <c r="A36" s="96" t="inlineStr">
        <is>
          <t>Phase 1B</t>
        </is>
      </c>
      <c r="B36" s="90" t="inlineStr">
        <is>
          <t>Sprint 4</t>
        </is>
      </c>
      <c r="C36" s="90" t="inlineStr">
        <is>
          <t>11–12</t>
        </is>
      </c>
      <c r="D36" s="90" t="inlineStr">
        <is>
          <t>M11</t>
        </is>
      </c>
      <c r="E36" s="97" t="inlineStr">
        <is>
          <t>HR — Attendance</t>
        </is>
      </c>
      <c r="F36" s="92" t="inlineStr">
        <is>
          <t>Nightly derivation cron: punches + leaves + holidays -&gt; hr.attendance_days (PRESENT/LATE/HALF_DAY/ABSENT/ON_LEAVE/HOLIDAY); correction request -&gt; approval -&gt; audit log</t>
        </is>
      </c>
      <c r="G36" s="92" t="inlineStr">
        <is>
          <t>Derived day matches manual calc on 20 fixtures</t>
        </is>
      </c>
      <c r="H36" s="92" t="inlineStr">
        <is>
          <t>Dev</t>
        </is>
      </c>
      <c r="I36" s="92" t="inlineStr">
        <is>
          <t>High</t>
        </is>
      </c>
      <c r="J36" s="92" t="inlineStr">
        <is>
          <t>Not Started</t>
        </is>
      </c>
    </row>
    <row r="37" ht="22.35" customHeight="1" s="69">
      <c r="A37" s="96" t="inlineStr">
        <is>
          <t>Phase 1B</t>
        </is>
      </c>
      <c r="B37" s="90" t="inlineStr">
        <is>
          <t>Sprint 4</t>
        </is>
      </c>
      <c r="C37" s="90" t="inlineStr">
        <is>
          <t>11–12</t>
        </is>
      </c>
      <c r="D37" s="90" t="inlineStr">
        <is>
          <t>M11</t>
        </is>
      </c>
      <c r="E37" s="97" t="inlineStr">
        <is>
          <t>HR — Attendance</t>
        </is>
      </c>
      <c r="F37" s="92" t="inlineStr">
        <is>
          <t>HR dashboard: daily grid, late/absence trends, CSV/XLSX export; Presence channel 'clocked in' indicator</t>
        </is>
      </c>
      <c r="G37" s="92" t="inlineStr">
        <is>
          <t>—</t>
        </is>
      </c>
      <c r="H37" s="92" t="inlineStr">
        <is>
          <t>Dev</t>
        </is>
      </c>
      <c r="I37" s="92" t="inlineStr">
        <is>
          <t>Medium</t>
        </is>
      </c>
      <c r="J37" s="92" t="inlineStr">
        <is>
          <t>Not Started</t>
        </is>
      </c>
    </row>
    <row r="38" ht="15" customHeight="1" s="69">
      <c r="A38" s="96" t="inlineStr">
        <is>
          <t>Phase 1B</t>
        </is>
      </c>
      <c r="B38" s="90" t="inlineStr">
        <is>
          <t>Sprint 4</t>
        </is>
      </c>
      <c r="C38" s="90" t="inlineStr">
        <is>
          <t>11–12</t>
        </is>
      </c>
      <c r="D38" s="90" t="inlineStr">
        <is>
          <t>M11</t>
        </is>
      </c>
      <c r="E38" s="97" t="inlineStr">
        <is>
          <t>HR — Comms</t>
        </is>
      </c>
      <c r="F38" s="92" t="inlineStr">
        <is>
          <t>Announcements feed: pinned posts, read receipts, realtime + push delivery</t>
        </is>
      </c>
      <c r="G38" s="92" t="inlineStr">
        <is>
          <t>—</t>
        </is>
      </c>
      <c r="H38" s="92" t="inlineStr">
        <is>
          <t>Dev</t>
        </is>
      </c>
      <c r="I38" s="92" t="inlineStr">
        <is>
          <t>Medium</t>
        </is>
      </c>
      <c r="J38" s="92" t="inlineStr">
        <is>
          <t>Not Started</t>
        </is>
      </c>
    </row>
    <row r="39" ht="22.35" customHeight="1" s="69">
      <c r="A39" s="96" t="inlineStr">
        <is>
          <t>Phase 1B</t>
        </is>
      </c>
      <c r="B39" s="90" t="inlineStr">
        <is>
          <t>Sprint 4</t>
        </is>
      </c>
      <c r="C39" s="90" t="inlineStr">
        <is>
          <t>11–12</t>
        </is>
      </c>
      <c r="D39" s="90" t="inlineStr">
        <is>
          <t>—</t>
        </is>
      </c>
      <c r="E39" s="97" t="inlineStr">
        <is>
          <t>HR — Policy</t>
        </is>
      </c>
      <c r="F39" s="92" t="inlineStr">
        <is>
          <t>PH holiday calendar 2026–2027 seeded (O8); attendance policy parameters configured (O3)</t>
        </is>
      </c>
      <c r="G39" s="92" t="inlineStr">
        <is>
          <t>HR sign-off</t>
        </is>
      </c>
      <c r="H39" s="92" t="inlineStr">
        <is>
          <t>HR</t>
        </is>
      </c>
      <c r="I39" s="92" t="inlineStr">
        <is>
          <t>High</t>
        </is>
      </c>
      <c r="J39" s="92" t="inlineStr">
        <is>
          <t>Not Started</t>
        </is>
      </c>
    </row>
    <row r="40" ht="22.35" customHeight="1" s="69">
      <c r="A40" s="96" t="inlineStr">
        <is>
          <t>Phase 1B</t>
        </is>
      </c>
      <c r="B40" s="90" t="inlineStr">
        <is>
          <t>Sprint 5</t>
        </is>
      </c>
      <c r="C40" s="90" t="inlineStr">
        <is>
          <t>13–14</t>
        </is>
      </c>
      <c r="D40" s="90" t="inlineStr">
        <is>
          <t>M11</t>
        </is>
      </c>
      <c r="E40" s="97" t="inlineStr">
        <is>
          <t>HR — Leave</t>
        </is>
      </c>
      <c r="F40" s="92" t="inlineStr">
        <is>
          <t>Leave types + accrual rules engine (table-driven, jsonb rules); monthly accrual cron; carry-over caps</t>
        </is>
      </c>
      <c r="G40" s="92" t="inlineStr">
        <is>
          <t>Accrual run matches HR-approved expectations (O2)</t>
        </is>
      </c>
      <c r="H40" s="92" t="inlineStr">
        <is>
          <t>Dev Lead</t>
        </is>
      </c>
      <c r="I40" s="93" t="inlineStr">
        <is>
          <t>Critical</t>
        </is>
      </c>
      <c r="J40" s="92" t="inlineStr">
        <is>
          <t>Not Started</t>
        </is>
      </c>
    </row>
    <row r="41" ht="32.8" customHeight="1" s="69">
      <c r="A41" s="96" t="inlineStr">
        <is>
          <t>Phase 1B</t>
        </is>
      </c>
      <c r="B41" s="90" t="inlineStr">
        <is>
          <t>Sprint 5</t>
        </is>
      </c>
      <c r="C41" s="90" t="inlineStr">
        <is>
          <t>13–14</t>
        </is>
      </c>
      <c r="D41" s="90" t="inlineStr">
        <is>
          <t>M11</t>
        </is>
      </c>
      <c r="E41" s="97" t="inlineStr">
        <is>
          <t>HR — Leave</t>
        </is>
      </c>
      <c r="F41" s="92" t="inlineStr">
        <is>
          <t>Leave request flow: file (half-day support, attachments) -&gt; manager approve/reject with reason -&gt; balance auto-deduct -&gt; team calendar + assignment-pool eligibility update</t>
        </is>
      </c>
      <c r="G41" s="92" t="inlineStr">
        <is>
          <t>AC4 end-to-end on mobile</t>
        </is>
      </c>
      <c r="H41" s="92" t="inlineStr">
        <is>
          <t>Dev</t>
        </is>
      </c>
      <c r="I41" s="93" t="inlineStr">
        <is>
          <t>Critical</t>
        </is>
      </c>
      <c r="J41" s="92" t="inlineStr">
        <is>
          <t>Not Started</t>
        </is>
      </c>
    </row>
    <row r="42" ht="22.35" customHeight="1" s="69">
      <c r="A42" s="96" t="inlineStr">
        <is>
          <t>Phase 1B</t>
        </is>
      </c>
      <c r="B42" s="90" t="inlineStr">
        <is>
          <t>Sprint 5</t>
        </is>
      </c>
      <c r="C42" s="90" t="inlineStr">
        <is>
          <t>13–14</t>
        </is>
      </c>
      <c r="D42" s="90" t="inlineStr">
        <is>
          <t>M11</t>
        </is>
      </c>
      <c r="E42" s="97" t="inlineStr">
        <is>
          <t>HR — Leave</t>
        </is>
      </c>
      <c r="F42" s="92" t="inlineStr">
        <is>
          <t>Team leave calendar for PMs (dates only per P9); leave.approved event handler refreshes round-robin pool data</t>
        </is>
      </c>
      <c r="G42" s="92" t="inlineStr">
        <is>
          <t>—</t>
        </is>
      </c>
      <c r="H42" s="92" t="inlineStr">
        <is>
          <t>Dev</t>
        </is>
      </c>
      <c r="I42" s="92" t="inlineStr">
        <is>
          <t>High</t>
        </is>
      </c>
      <c r="J42" s="92" t="inlineStr">
        <is>
          <t>Not Started</t>
        </is>
      </c>
    </row>
    <row r="43" ht="22.35" customHeight="1" s="69">
      <c r="A43" s="96" t="inlineStr">
        <is>
          <t>Phase 1B</t>
        </is>
      </c>
      <c r="B43" s="90" t="inlineStr">
        <is>
          <t>Sprint 5</t>
        </is>
      </c>
      <c r="C43" s="90" t="inlineStr">
        <is>
          <t>13–14</t>
        </is>
      </c>
      <c r="D43" s="90" t="inlineStr">
        <is>
          <t>M11</t>
        </is>
      </c>
      <c r="E43" s="97" t="inlineStr">
        <is>
          <t>HR — Timesheets</t>
        </is>
      </c>
      <c r="F43" s="92" t="inlineStr">
        <is>
          <t>Weekly timesheet: auto-filled from time_logs + attendance; submit -&gt; approve -&gt; locked; payroll CSV/XLSX export (D21)</t>
        </is>
      </c>
      <c r="G43" s="92" t="inlineStr">
        <is>
          <t>AC5: payroll-period export with zero Zoho reference</t>
        </is>
      </c>
      <c r="H43" s="92" t="inlineStr">
        <is>
          <t>Dev</t>
        </is>
      </c>
      <c r="I43" s="93" t="inlineStr">
        <is>
          <t>Critical</t>
        </is>
      </c>
      <c r="J43" s="92" t="inlineStr">
        <is>
          <t>Not Started</t>
        </is>
      </c>
    </row>
    <row r="44" ht="22.35" customHeight="1" s="69">
      <c r="A44" s="96" t="inlineStr">
        <is>
          <t>Phase 1B</t>
        </is>
      </c>
      <c r="B44" s="90" t="inlineStr">
        <is>
          <t>Sprint 5</t>
        </is>
      </c>
      <c r="C44" s="90" t="inlineStr">
        <is>
          <t>13–14</t>
        </is>
      </c>
      <c r="D44" s="90" t="inlineStr">
        <is>
          <t>M11</t>
        </is>
      </c>
      <c r="E44" s="97" t="inlineStr">
        <is>
          <t>Notifications</t>
        </is>
      </c>
      <c r="F44" s="92" t="inlineStr">
        <is>
          <t>Web Push end-to-end (service worker): leave decisions, HIGH/CRITICAL alerts; push_subscriptions mgmt; HR request types (COE, equipment) with simple routing</t>
        </is>
      </c>
      <c r="G44" s="92" t="inlineStr">
        <is>
          <t>Push received with app closed</t>
        </is>
      </c>
      <c r="H44" s="92" t="inlineStr">
        <is>
          <t>Dev</t>
        </is>
      </c>
      <c r="I44" s="92" t="inlineStr">
        <is>
          <t>High</t>
        </is>
      </c>
      <c r="J44" s="92" t="inlineStr">
        <is>
          <t>Not Started</t>
        </is>
      </c>
    </row>
    <row r="45" ht="22.35" customHeight="1" s="69">
      <c r="A45" s="96" t="inlineStr">
        <is>
          <t>Phase 1B</t>
        </is>
      </c>
      <c r="B45" s="90" t="inlineStr">
        <is>
          <t>Sprint 5</t>
        </is>
      </c>
      <c r="C45" s="90" t="inlineStr">
        <is>
          <t>13–14</t>
        </is>
      </c>
      <c r="D45" s="90" t="inlineStr">
        <is>
          <t>—</t>
        </is>
      </c>
      <c r="E45" s="97" t="inlineStr">
        <is>
          <t>Parallel option</t>
        </is>
      </c>
      <c r="F45" s="92" t="inlineStr">
        <is>
          <t>Decision gate: run Phase 1C in parallel from Sprint 6 with second workstream? (O10)</t>
        </is>
      </c>
      <c r="G45" s="92" t="inlineStr">
        <is>
          <t>Mgmt decision recorded</t>
        </is>
      </c>
      <c r="H45" s="92" t="inlineStr">
        <is>
          <t>Mgmt</t>
        </is>
      </c>
      <c r="I45" s="92" t="inlineStr">
        <is>
          <t>Medium</t>
        </is>
      </c>
      <c r="J45" s="92" t="inlineStr">
        <is>
          <t>Not Started</t>
        </is>
      </c>
    </row>
    <row r="46" ht="32.8" customHeight="1" s="69">
      <c r="A46" s="98" t="inlineStr">
        <is>
          <t>Phase 1C</t>
        </is>
      </c>
      <c r="B46" s="90" t="inlineStr">
        <is>
          <t>Sprint 6</t>
        </is>
      </c>
      <c r="C46" s="90" t="inlineStr">
        <is>
          <t>15–16</t>
        </is>
      </c>
      <c r="D46" s="90" t="inlineStr">
        <is>
          <t>M3</t>
        </is>
      </c>
      <c r="E46" s="99" t="inlineStr">
        <is>
          <t>AI Layer</t>
        </is>
      </c>
      <c r="F46" s="92" t="inlineStr">
        <is>
          <t>Requirements Assessment (Sonnet): CLEAR/PARTIAL/BLOCKED subtask breakdown; requirements_assessments records; clarification draft for PM; auto re-assessment on client reply</t>
        </is>
      </c>
      <c r="G46" s="92" t="inlineStr">
        <is>
          <t>Blocked task flags CLARIFICATION_NEEDED in digest</t>
        </is>
      </c>
      <c r="H46" s="92" t="inlineStr">
        <is>
          <t>Dev Lead</t>
        </is>
      </c>
      <c r="I46" s="93" t="inlineStr">
        <is>
          <t>Critical</t>
        </is>
      </c>
      <c r="J46" s="92" t="inlineStr">
        <is>
          <t>Not Started</t>
        </is>
      </c>
    </row>
    <row r="47" ht="32.8" customHeight="1" s="69">
      <c r="A47" s="98" t="inlineStr">
        <is>
          <t>Phase 1C</t>
        </is>
      </c>
      <c r="B47" s="90" t="inlineStr">
        <is>
          <t>Sprint 6</t>
        </is>
      </c>
      <c r="C47" s="90" t="inlineStr">
        <is>
          <t>15–16</t>
        </is>
      </c>
      <c r="D47" s="90" t="inlineStr">
        <is>
          <t>M3</t>
        </is>
      </c>
      <c r="E47" s="99" t="inlineStr">
        <is>
          <t>AI Layer</t>
        </is>
      </c>
      <c r="F47" s="92" t="inlineStr">
        <is>
          <t>buildContextChain(classificationId) shared utility — full chain (ticket -&gt; classification -&gt; assessment -&gt; clarifications) feeds every Sonnet prompt (P6). Build here, not later.</t>
        </is>
      </c>
      <c r="G47" s="92" t="inlineStr">
        <is>
          <t>Chain snapshot stored per invocation</t>
        </is>
      </c>
      <c r="H47" s="92" t="inlineStr">
        <is>
          <t>Dev</t>
        </is>
      </c>
      <c r="I47" s="93" t="inlineStr">
        <is>
          <t>Critical</t>
        </is>
      </c>
      <c r="J47" s="92" t="inlineStr">
        <is>
          <t>Not Started</t>
        </is>
      </c>
    </row>
    <row r="48" ht="32.8" customHeight="1" s="69">
      <c r="A48" s="98" t="inlineStr">
        <is>
          <t>Phase 1C</t>
        </is>
      </c>
      <c r="B48" s="90" t="inlineStr">
        <is>
          <t>Sprint 6</t>
        </is>
      </c>
      <c r="C48" s="90" t="inlineStr">
        <is>
          <t>15–16</t>
        </is>
      </c>
      <c r="D48" s="90" t="inlineStr">
        <is>
          <t>M4</t>
        </is>
      </c>
      <c r="E48" s="99" t="inlineStr">
        <is>
          <t>AI Layer</t>
        </is>
      </c>
      <c r="F48" s="92" t="inlineStr">
        <is>
          <t>Daily Digest (Haiku) via Supabase Cron -&gt; digest_logs; PM digest (pending, unassigned, stalled, automation queue, ready-to-close) + Dev digest; one-tap Useful/Partial/Not Useful rating</t>
        </is>
      </c>
      <c r="G48" s="92" t="inlineStr">
        <is>
          <t>Digest renders from precompiled record (no live LLM call)</t>
        </is>
      </c>
      <c r="H48" s="92" t="inlineStr">
        <is>
          <t>Dev</t>
        </is>
      </c>
      <c r="I48" s="92" t="inlineStr">
        <is>
          <t>High</t>
        </is>
      </c>
      <c r="J48" s="92" t="inlineStr">
        <is>
          <t>Not Started</t>
        </is>
      </c>
    </row>
    <row r="49" ht="22.35" customHeight="1" s="69">
      <c r="A49" s="98" t="inlineStr">
        <is>
          <t>Phase 1C</t>
        </is>
      </c>
      <c r="B49" s="90" t="inlineStr">
        <is>
          <t>Sprint 6</t>
        </is>
      </c>
      <c r="C49" s="90" t="inlineStr">
        <is>
          <t>15–16</t>
        </is>
      </c>
      <c r="D49" s="90" t="inlineStr">
        <is>
          <t>M4</t>
        </is>
      </c>
      <c r="E49" s="99" t="inlineStr">
        <is>
          <t>HR x AI</t>
        </is>
      </c>
      <c r="F49" s="92" t="inlineStr">
        <is>
          <t>Digest HR signals for managers: on leave today, pending approvals, missing timesheets, attendance exceptions</t>
        </is>
      </c>
      <c r="G49" s="92" t="inlineStr">
        <is>
          <t>—</t>
        </is>
      </c>
      <c r="H49" s="92" t="inlineStr">
        <is>
          <t>Dev</t>
        </is>
      </c>
      <c r="I49" s="92" t="inlineStr">
        <is>
          <t>Medium</t>
        </is>
      </c>
      <c r="J49" s="92" t="inlineStr">
        <is>
          <t>Not Started</t>
        </is>
      </c>
    </row>
    <row r="50" ht="32.8" customHeight="1" s="69">
      <c r="A50" s="98" t="inlineStr">
        <is>
          <t>Phase 1C</t>
        </is>
      </c>
      <c r="B50" s="90" t="inlineStr">
        <is>
          <t>Sprint 6</t>
        </is>
      </c>
      <c r="C50" s="90" t="inlineStr">
        <is>
          <t>15–16</t>
        </is>
      </c>
      <c r="D50" s="90" t="inlineStr">
        <is>
          <t>M14</t>
        </is>
      </c>
      <c r="E50" s="99" t="inlineStr">
        <is>
          <t>Reporting</t>
        </is>
      </c>
      <c r="F50" s="92" t="inlineStr">
        <is>
          <t>MVP Stats page (read-only, D25): hours by developer/project, task throughput (created vs completed/week), ticket volume + SLA hit rate, attendance summary — Supabase views + simple charts</t>
        </is>
      </c>
      <c r="G50" s="92" t="inlineStr">
        <is>
          <t>Leadership view live from Week 16</t>
        </is>
      </c>
      <c r="H50" s="92" t="inlineStr">
        <is>
          <t>Dev</t>
        </is>
      </c>
      <c r="I50" s="92" t="inlineStr">
        <is>
          <t>High</t>
        </is>
      </c>
      <c r="J50" s="92" t="inlineStr">
        <is>
          <t>Not Started</t>
        </is>
      </c>
    </row>
    <row r="51" ht="32.8" customHeight="1" s="69">
      <c r="A51" s="98" t="inlineStr">
        <is>
          <t>Phase 1C</t>
        </is>
      </c>
      <c r="B51" s="90" t="inlineStr">
        <is>
          <t>Sprint 7</t>
        </is>
      </c>
      <c r="C51" s="90" t="inlineStr">
        <is>
          <t>17–18</t>
        </is>
      </c>
      <c r="D51" s="90" t="inlineStr">
        <is>
          <t>M5</t>
        </is>
      </c>
      <c r="E51" s="99" t="inlineStr">
        <is>
          <t>AI Layer</t>
        </is>
      </c>
      <c r="F51" s="92" t="inlineStr">
        <is>
          <t>Plan Generation (Sonnet): steps, affected files, risk flags, confidence; human approval gate UI with structured rejection reasons; plan-approval Broadcast to role:pm</t>
        </is>
      </c>
      <c r="G51" s="92" t="inlineStr">
        <is>
          <t>Plan approve/reject round-trip stored</t>
        </is>
      </c>
      <c r="H51" s="92" t="inlineStr">
        <is>
          <t>Dev Lead</t>
        </is>
      </c>
      <c r="I51" s="93" t="inlineStr">
        <is>
          <t>Critical</t>
        </is>
      </c>
      <c r="J51" s="92" t="inlineStr">
        <is>
          <t>Not Started</t>
        </is>
      </c>
    </row>
    <row r="52" ht="32.8" customHeight="1" s="69">
      <c r="A52" s="98" t="inlineStr">
        <is>
          <t>Phase 1C</t>
        </is>
      </c>
      <c r="B52" s="90" t="inlineStr">
        <is>
          <t>Sprint 7</t>
        </is>
      </c>
      <c r="C52" s="90" t="inlineStr">
        <is>
          <t>17–18</t>
        </is>
      </c>
      <c r="D52" s="90" t="inlineStr">
        <is>
          <t>M13 (v1)</t>
        </is>
      </c>
      <c r="E52" s="99" t="inlineStr">
        <is>
          <t>Ops Chat</t>
        </is>
      </c>
      <c r="F52" s="92" t="inlineStr">
        <is>
          <t>Unified AI Chat v1: global panel + Cmd/Ctrl-K palette; AI SDK streaming endpoint /api/ai/chat; role-scoped tool registry for PM + Dev read tools (pending/priority tasks, SLA, hours, my tasks); answers as cards with deep links</t>
        </is>
      </c>
      <c r="G52" s="92" t="inlineStr">
        <is>
          <t>PM asks 'how many tasks are pending?' and gets a correct linked answer</t>
        </is>
      </c>
      <c r="H52" s="92" t="inlineStr">
        <is>
          <t>Dev</t>
        </is>
      </c>
      <c r="I52" s="92" t="inlineStr">
        <is>
          <t>High</t>
        </is>
      </c>
      <c r="J52" s="92" t="inlineStr">
        <is>
          <t>Not Started</t>
        </is>
      </c>
    </row>
    <row r="53" ht="22.35" customHeight="1" s="69">
      <c r="A53" s="98" t="inlineStr">
        <is>
          <t>Phase 1C</t>
        </is>
      </c>
      <c r="B53" s="90" t="inlineStr">
        <is>
          <t>Sprint 7</t>
        </is>
      </c>
      <c r="C53" s="90" t="inlineStr">
        <is>
          <t>17–18</t>
        </is>
      </c>
      <c r="D53" s="90" t="inlineStr">
        <is>
          <t>M10</t>
        </is>
      </c>
      <c r="E53" s="99" t="inlineStr">
        <is>
          <t>Knowledge Base</t>
        </is>
      </c>
      <c r="F53" s="92" t="inlineStr">
        <is>
          <t>Customer KB scaffold (per-tenant specs, code map); seed playbooks for CONTENT_UPDATE + SETTINGS_CHANGE; weekly Wiki Lint cron</t>
        </is>
      </c>
      <c r="G53" s="92" t="inlineStr">
        <is>
          <t>Lint report lands in admin UI</t>
        </is>
      </c>
      <c r="H53" s="92" t="inlineStr">
        <is>
          <t>Dev</t>
        </is>
      </c>
      <c r="I53" s="92" t="inlineStr">
        <is>
          <t>Medium</t>
        </is>
      </c>
      <c r="J53" s="92" t="inlineStr">
        <is>
          <t>Not Started</t>
        </is>
      </c>
    </row>
    <row r="54" ht="15" customHeight="1" s="69">
      <c r="A54" s="98" t="inlineStr">
        <is>
          <t>Phase 1C</t>
        </is>
      </c>
      <c r="B54" s="90" t="inlineStr">
        <is>
          <t>Sprint 7</t>
        </is>
      </c>
      <c r="C54" s="90" t="inlineStr">
        <is>
          <t>17–18</t>
        </is>
      </c>
      <c r="D54" s="90" t="inlineStr">
        <is>
          <t>M10</t>
        </is>
      </c>
      <c r="E54" s="99" t="inlineStr">
        <is>
          <t>Knowledge Base</t>
        </is>
      </c>
      <c r="F54" s="92" t="inlineStr">
        <is>
          <t>HR-policy wiki pages in Internal KB (feeds HR Assistant + chat answers)</t>
        </is>
      </c>
      <c r="G54" s="92" t="inlineStr">
        <is>
          <t>—</t>
        </is>
      </c>
      <c r="H54" s="92" t="inlineStr">
        <is>
          <t>HR + PM</t>
        </is>
      </c>
      <c r="I54" s="92" t="inlineStr">
        <is>
          <t>Medium</t>
        </is>
      </c>
      <c r="J54" s="92" t="inlineStr">
        <is>
          <t>Not Started</t>
        </is>
      </c>
    </row>
    <row r="55" ht="43.25" customHeight="1" s="69">
      <c r="A55" s="98" t="inlineStr">
        <is>
          <t>Phase 1C</t>
        </is>
      </c>
      <c r="B55" s="90" t="inlineStr">
        <is>
          <t>Sprint 8</t>
        </is>
      </c>
      <c r="C55" s="90" t="inlineStr">
        <is>
          <t>19–20</t>
        </is>
      </c>
      <c r="D55" s="90" t="inlineStr">
        <is>
          <t>M6</t>
        </is>
      </c>
      <c r="E55" s="99" t="inlineStr">
        <is>
          <t>Execution</t>
        </is>
      </c>
      <c r="F55" s="92" t="inlineStr">
        <is>
          <t>Execution engine (Sonnet): Sanity API mode (per-tenant sanity_project_id), GitHub PR mode (branch/commit/PR via Actions + Claude Code), Product API (MCP) mode; pre_action_states for revert; PARTIAL_EXECUTION never auto-retried; circuit breaker (3 fails -&gt; pause per customer)</t>
        </is>
      </c>
      <c r="G55" s="92" t="inlineStr">
        <is>
          <t>AC2: CONTENT_UPDATE full loop without leaving Hub</t>
        </is>
      </c>
      <c r="H55" s="92" t="inlineStr">
        <is>
          <t>Dev Lead</t>
        </is>
      </c>
      <c r="I55" s="93" t="inlineStr">
        <is>
          <t>Critical</t>
        </is>
      </c>
      <c r="J55" s="92" t="inlineStr">
        <is>
          <t>Not Started</t>
        </is>
      </c>
    </row>
    <row r="56" ht="15" customHeight="1" s="69">
      <c r="A56" s="98" t="inlineStr">
        <is>
          <t>Phase 1C</t>
        </is>
      </c>
      <c r="B56" s="90" t="inlineStr">
        <is>
          <t>Sprint 8</t>
        </is>
      </c>
      <c r="C56" s="90" t="inlineStr">
        <is>
          <t>19–20</t>
        </is>
      </c>
      <c r="D56" s="90" t="inlineStr">
        <is>
          <t>M6</t>
        </is>
      </c>
      <c r="E56" s="99" t="inlineStr">
        <is>
          <t>Execution</t>
        </is>
      </c>
      <c r="F56" s="92" t="inlineStr">
        <is>
          <t>GitHub webhook -&gt; PR status + Vercel/Netlify preview URL displayed on task</t>
        </is>
      </c>
      <c r="G56" s="92" t="inlineStr">
        <is>
          <t>Preview link visible on task card</t>
        </is>
      </c>
      <c r="H56" s="92" t="inlineStr">
        <is>
          <t>Dev</t>
        </is>
      </c>
      <c r="I56" s="92" t="inlineStr">
        <is>
          <t>High</t>
        </is>
      </c>
      <c r="J56" s="92" t="inlineStr">
        <is>
          <t>Not Started</t>
        </is>
      </c>
    </row>
    <row r="57" ht="43.25" customHeight="1" s="69">
      <c r="A57" s="98" t="inlineStr">
        <is>
          <t>Phase 1C</t>
        </is>
      </c>
      <c r="B57" s="90" t="inlineStr">
        <is>
          <t>Sprint 8</t>
        </is>
      </c>
      <c r="C57" s="90" t="inlineStr">
        <is>
          <t>19–20</t>
        </is>
      </c>
      <c r="D57" s="90" t="inlineStr">
        <is>
          <t>M6</t>
        </is>
      </c>
      <c r="E57" s="99" t="inlineStr">
        <is>
          <t>Execution</t>
        </is>
      </c>
      <c r="F57" s="92" t="inlineStr">
        <is>
          <t>US-PUB-1 Publish to StackShift dev URL: PM 'Publish to dev' action on content tasks -&gt; Sanity publish -&gt; StackShift staging rebuild (deploy hook) -&gt; dev URL captured to tasks.preview_url, shown as Dev-preview chip + included in client reply draft; retryable, revertible (P5)</t>
        </is>
      </c>
      <c r="G57" s="92" t="inlineStr">
        <is>
          <t>AC7: dev URL on task + in reply within one rebuild cycle</t>
        </is>
      </c>
      <c r="H57" s="92" t="inlineStr">
        <is>
          <t>Dev Lead</t>
        </is>
      </c>
      <c r="I57" s="93" t="inlineStr">
        <is>
          <t>Critical</t>
        </is>
      </c>
      <c r="J57" s="92" t="inlineStr">
        <is>
          <t>Not Started</t>
        </is>
      </c>
    </row>
    <row r="58" ht="22.35" customHeight="1" s="69">
      <c r="A58" s="98" t="inlineStr">
        <is>
          <t>Phase 1C</t>
        </is>
      </c>
      <c r="B58" s="90" t="inlineStr">
        <is>
          <t>Sprint 8</t>
        </is>
      </c>
      <c r="C58" s="90" t="inlineStr">
        <is>
          <t>19–20</t>
        </is>
      </c>
      <c r="D58" s="90" t="inlineStr">
        <is>
          <t>M6</t>
        </is>
      </c>
      <c r="E58" s="99" t="inlineStr">
        <is>
          <t>AI Layer</t>
        </is>
      </c>
      <c r="F58" s="92" t="inlineStr">
        <is>
          <t>Reply Generation (Haiku) on COMPLETED; PM review/edit (diffs stored); send via Resend threaded into ticket + portal</t>
        </is>
      </c>
      <c r="G58" s="92" t="inlineStr">
        <is>
          <t>Client receives threaded reply</t>
        </is>
      </c>
      <c r="H58" s="92" t="inlineStr">
        <is>
          <t>Dev</t>
        </is>
      </c>
      <c r="I58" s="92" t="inlineStr">
        <is>
          <t>High</t>
        </is>
      </c>
      <c r="J58" s="92" t="inlineStr">
        <is>
          <t>Not Started</t>
        </is>
      </c>
    </row>
    <row r="59" ht="32.8" customHeight="1" s="69">
      <c r="A59" s="98" t="inlineStr">
        <is>
          <t>Phase 1C</t>
        </is>
      </c>
      <c r="B59" s="90" t="inlineStr">
        <is>
          <t>Sprint 8</t>
        </is>
      </c>
      <c r="C59" s="90" t="inlineStr">
        <is>
          <t>19–20</t>
        </is>
      </c>
      <c r="D59" s="90" t="inlineStr">
        <is>
          <t>M13</t>
        </is>
      </c>
      <c r="E59" s="99" t="inlineStr">
        <is>
          <t>Ops Chat</t>
        </is>
      </c>
      <c r="F59" s="92" t="inlineStr">
        <is>
          <t>Ops Chat complete: HR/manager + Admin tool groups (who filed leaves, absences, approvals, LLM cost), LLM Wiki retrieval grounding, answer rating -&gt; llm_invocation_logs, mobile chat sheet</t>
        </is>
      </c>
      <c r="G59" s="92" t="inlineStr">
        <is>
          <t>AC6: 'priority tasks + who is absent?' answered RLS-scoped with links</t>
        </is>
      </c>
      <c r="H59" s="92" t="inlineStr">
        <is>
          <t>Dev</t>
        </is>
      </c>
      <c r="I59" s="93" t="inlineStr">
        <is>
          <t>Critical</t>
        </is>
      </c>
      <c r="J59" s="92" t="inlineStr">
        <is>
          <t>Not Started</t>
        </is>
      </c>
    </row>
    <row r="60" ht="22.35" customHeight="1" s="69">
      <c r="A60" s="98" t="inlineStr">
        <is>
          <t>Phase 1C</t>
        </is>
      </c>
      <c r="B60" s="90" t="inlineStr">
        <is>
          <t>Sprint 8</t>
        </is>
      </c>
      <c r="C60" s="90" t="inlineStr">
        <is>
          <t>19–20</t>
        </is>
      </c>
      <c r="D60" s="90" t="inlineStr">
        <is>
          <t>—</t>
        </is>
      </c>
      <c r="E60" s="99" t="inlineStr">
        <is>
          <t>Hardening</t>
        </is>
      </c>
      <c r="F60" s="92" t="inlineStr">
        <is>
          <t>Load/perf pass: event bus p95, realtime delivery &lt; 3s, RLS regression suite, soft token budgets + PM alert</t>
        </is>
      </c>
      <c r="G60" s="92" t="inlineStr">
        <is>
          <t>Targets green on staging</t>
        </is>
      </c>
      <c r="H60" s="92" t="inlineStr">
        <is>
          <t>Dev Lead</t>
        </is>
      </c>
      <c r="I60" s="92" t="inlineStr">
        <is>
          <t>High</t>
        </is>
      </c>
      <c r="J60" s="92" t="inlineStr">
        <is>
          <t>Not Started</t>
        </is>
      </c>
    </row>
    <row r="61" ht="32.8" customHeight="1" s="69">
      <c r="A61" s="100" t="inlineStr">
        <is>
          <t>Phase 1D</t>
        </is>
      </c>
      <c r="B61" s="90" t="inlineStr">
        <is>
          <t>Sprint 9</t>
        </is>
      </c>
      <c r="C61" s="90" t="inlineStr">
        <is>
          <t>21–22</t>
        </is>
      </c>
      <c r="D61" s="90" t="inlineStr">
        <is>
          <t>M12</t>
        </is>
      </c>
      <c r="E61" s="101" t="inlineStr">
        <is>
          <t>Migration</t>
        </is>
      </c>
      <c r="F61" s="92" t="inlineStr">
        <is>
          <t>HR cutover at month boundary: employees, leave types, opening balances (HR signed-off, O2), 12-mo attendance summary import (source=zoho_import); Zoho People -&gt; read-only</t>
        </is>
      </c>
      <c r="G61" s="92" t="inlineStr">
        <is>
          <t>Balances reconciled to the day</t>
        </is>
      </c>
      <c r="H61" s="92" t="inlineStr">
        <is>
          <t>Dev Lead</t>
        </is>
      </c>
      <c r="I61" s="93" t="inlineStr">
        <is>
          <t>Critical</t>
        </is>
      </c>
      <c r="J61" s="92" t="inlineStr">
        <is>
          <t>Not Started</t>
        </is>
      </c>
    </row>
    <row r="62" ht="22.35" customHeight="1" s="69">
      <c r="A62" s="100" t="inlineStr">
        <is>
          <t>Phase 1D</t>
        </is>
      </c>
      <c r="B62" s="90" t="inlineStr">
        <is>
          <t>Sprint 9</t>
        </is>
      </c>
      <c r="C62" s="90" t="inlineStr">
        <is>
          <t>21–22</t>
        </is>
      </c>
      <c r="D62" s="90" t="inlineStr">
        <is>
          <t>M12</t>
        </is>
      </c>
      <c r="E62" s="101" t="inlineStr">
        <is>
          <t>Migration</t>
        </is>
      </c>
      <c r="F62" s="92" t="inlineStr">
        <is>
          <t>Desk cutover: new support address live; Zoho Desk auto-responder redirect; open tickets + threads + attachments imported</t>
        </is>
      </c>
      <c r="G62" s="92" t="inlineStr">
        <is>
          <t>No client request lost during switch</t>
        </is>
      </c>
      <c r="H62" s="92" t="inlineStr">
        <is>
          <t>Dev</t>
        </is>
      </c>
      <c r="I62" s="93" t="inlineStr">
        <is>
          <t>Critical</t>
        </is>
      </c>
      <c r="J62" s="92" t="inlineStr">
        <is>
          <t>Not Started</t>
        </is>
      </c>
    </row>
    <row r="63" ht="32.8" customHeight="1" s="69">
      <c r="A63" s="100" t="inlineStr">
        <is>
          <t>Phase 1D</t>
        </is>
      </c>
      <c r="B63" s="90" t="inlineStr">
        <is>
          <t>Sprint 9</t>
        </is>
      </c>
      <c r="C63" s="90" t="inlineStr">
        <is>
          <t>21–22</t>
        </is>
      </c>
      <c r="D63" s="90" t="inlineStr">
        <is>
          <t>M12</t>
        </is>
      </c>
      <c r="E63" s="101" t="inlineStr">
        <is>
          <t>Migration</t>
        </is>
      </c>
      <c r="F63" s="92" t="inlineStr">
        <is>
          <t>Projects cutover: freeze Friday EOD -&gt; weekend import (projects, tasks, time logs; PM-signed status/priority mapping per O12; zoho_legacy_id in meta) -&gt; Monday live</t>
        </is>
      </c>
      <c r="G63" s="92" t="inlineStr">
        <is>
          <t>Team works fully in Hub Monday</t>
        </is>
      </c>
      <c r="H63" s="92" t="inlineStr">
        <is>
          <t>Dev Lead</t>
        </is>
      </c>
      <c r="I63" s="93" t="inlineStr">
        <is>
          <t>Critical</t>
        </is>
      </c>
      <c r="J63" s="92" t="inlineStr">
        <is>
          <t>Not Started</t>
        </is>
      </c>
    </row>
    <row r="64" ht="22.35" customHeight="1" s="69">
      <c r="A64" s="100" t="inlineStr">
        <is>
          <t>Phase 1D</t>
        </is>
      </c>
      <c r="B64" s="90" t="inlineStr">
        <is>
          <t>Sprint 9</t>
        </is>
      </c>
      <c r="C64" s="90" t="inlineStr">
        <is>
          <t>21–22</t>
        </is>
      </c>
      <c r="D64" s="90" t="inlineStr">
        <is>
          <t>M12</t>
        </is>
      </c>
      <c r="E64" s="101" t="inlineStr">
        <is>
          <t>Migration</t>
        </is>
      </c>
      <c r="F64" s="92" t="inlineStr">
        <is>
          <t>Zoho read-only 60-day tail scheduled; archived exports to cold storage; license cancellation calendared (D18)</t>
        </is>
      </c>
      <c r="G64" s="92" t="inlineStr">
        <is>
          <t>Checklist complete</t>
        </is>
      </c>
      <c r="H64" s="92" t="inlineStr">
        <is>
          <t>Admin</t>
        </is>
      </c>
      <c r="I64" s="92" t="inlineStr">
        <is>
          <t>High</t>
        </is>
      </c>
      <c r="J64" s="92" t="inlineStr">
        <is>
          <t>Not Started</t>
        </is>
      </c>
    </row>
    <row r="65" ht="22.35" customHeight="1" s="69">
      <c r="A65" s="100" t="inlineStr">
        <is>
          <t>Phase 1D</t>
        </is>
      </c>
      <c r="B65" s="90" t="inlineStr">
        <is>
          <t>Sprint 9</t>
        </is>
      </c>
      <c r="C65" s="90" t="inlineStr">
        <is>
          <t>21–22</t>
        </is>
      </c>
      <c r="D65" s="90" t="inlineStr">
        <is>
          <t>—</t>
        </is>
      </c>
      <c r="E65" s="101" t="inlineStr">
        <is>
          <t>Enablement</t>
        </is>
      </c>
      <c r="F65" s="92" t="inlineStr">
        <is>
          <t>Team training (PM/Dev/HR tracks) + client portal announcement email; runbook + on-call rota for cutover fortnight</t>
        </is>
      </c>
      <c r="G65" s="92" t="inlineStr">
        <is>
          <t>All staff completed walkthrough</t>
        </is>
      </c>
      <c r="H65" s="92" t="inlineStr">
        <is>
          <t>PM</t>
        </is>
      </c>
      <c r="I65" s="92" t="inlineStr">
        <is>
          <t>High</t>
        </is>
      </c>
      <c r="J65" s="92" t="inlineStr">
        <is>
          <t>Not Started</t>
        </is>
      </c>
    </row>
    <row r="66" ht="15" customHeight="1" s="69">
      <c r="A66" s="100" t="inlineStr">
        <is>
          <t>Phase 1D</t>
        </is>
      </c>
      <c r="B66" s="90" t="inlineStr">
        <is>
          <t>Sprint 9</t>
        </is>
      </c>
      <c r="C66" s="90" t="inlineStr">
        <is>
          <t>21–22</t>
        </is>
      </c>
      <c r="D66" s="90" t="inlineStr">
        <is>
          <t>—</t>
        </is>
      </c>
      <c r="E66" s="101" t="inlineStr">
        <is>
          <t>Exit Gate</t>
        </is>
      </c>
      <c r="F66" s="92" t="inlineStr">
        <is>
          <t>MVP exit review: AC1–AC6 demonstrated; metrics baseline captured</t>
        </is>
      </c>
      <c r="G66" s="92" t="inlineStr">
        <is>
          <t>Mgmt sign-off</t>
        </is>
      </c>
      <c r="H66" s="92" t="inlineStr">
        <is>
          <t>Mgmt</t>
        </is>
      </c>
      <c r="I66" s="93" t="inlineStr">
        <is>
          <t>Critical</t>
        </is>
      </c>
      <c r="J66" s="92" t="inlineStr">
        <is>
          <t>Not Started</t>
        </is>
      </c>
    </row>
    <row r="67" ht="22.35" customHeight="1" s="69">
      <c r="A67" s="102" t="inlineStr">
        <is>
          <t>Phase 2</t>
        </is>
      </c>
      <c r="B67" s="90" t="inlineStr">
        <is>
          <t>Sprint 10</t>
        </is>
      </c>
      <c r="C67" s="90" t="inlineStr">
        <is>
          <t>23–24</t>
        </is>
      </c>
      <c r="D67" s="90" t="inlineStr">
        <is>
          <t>—</t>
        </is>
      </c>
      <c r="E67" s="103" t="inlineStr">
        <is>
          <t>Automation</t>
        </is>
      </c>
      <c r="F67" s="92" t="inlineStr">
        <is>
          <t>Automation toggle per customer: plan auto-triggers on CLEAR assessment when ON</t>
        </is>
      </c>
      <c r="G67" s="92" t="inlineStr">
        <is>
          <t>Toggle honored; OFF = manual unchanged</t>
        </is>
      </c>
      <c r="H67" s="92" t="inlineStr">
        <is>
          <t>Dev Lead</t>
        </is>
      </c>
      <c r="I67" s="92" t="inlineStr">
        <is>
          <t>High</t>
        </is>
      </c>
      <c r="J67" s="92" t="inlineStr">
        <is>
          <t>Not Started</t>
        </is>
      </c>
    </row>
    <row r="68" ht="22.35" customHeight="1" s="69">
      <c r="A68" s="102" t="inlineStr">
        <is>
          <t>Phase 2</t>
        </is>
      </c>
      <c r="B68" s="90" t="inlineStr">
        <is>
          <t>Sprint 10</t>
        </is>
      </c>
      <c r="C68" s="90" t="inlineStr">
        <is>
          <t>23–24</t>
        </is>
      </c>
      <c r="D68" s="90" t="inlineStr">
        <is>
          <t>—</t>
        </is>
      </c>
      <c r="E68" s="103" t="inlineStr">
        <is>
          <t>Automation</t>
        </is>
      </c>
      <c r="F68" s="92" t="inlineStr">
        <is>
          <t>Expanded task types live: SETTINGS_CHANGE, SEO_UPDATE, ASSET_UPLOAD execution paths</t>
        </is>
      </c>
      <c r="G68" s="92" t="inlineStr">
        <is>
          <t>One real execution per new type</t>
        </is>
      </c>
      <c r="H68" s="92" t="inlineStr">
        <is>
          <t>Dev</t>
        </is>
      </c>
      <c r="I68" s="92" t="inlineStr">
        <is>
          <t>High</t>
        </is>
      </c>
      <c r="J68" s="92" t="inlineStr">
        <is>
          <t>Not Started</t>
        </is>
      </c>
    </row>
    <row r="69" ht="32.8" customHeight="1" s="69">
      <c r="A69" s="102" t="inlineStr">
        <is>
          <t>Phase 2</t>
        </is>
      </c>
      <c r="B69" s="90" t="inlineStr">
        <is>
          <t>Sprint 11</t>
        </is>
      </c>
      <c r="C69" s="90" t="inlineStr">
        <is>
          <t>25–26</t>
        </is>
      </c>
      <c r="D69" s="90" t="inlineStr">
        <is>
          <t>—</t>
        </is>
      </c>
      <c r="E69" s="103" t="inlineStr">
        <is>
          <t>Ops Chat</t>
        </is>
      </c>
      <c r="F69" s="92" t="inlineStr">
        <is>
          <t>Chat actions v1 behind explicit confirmation (P8): assign task, approve leave, change status — from chat with confirm dialog + audit log (7J Phase-2 commitment)</t>
        </is>
      </c>
      <c r="G69" s="92" t="inlineStr">
        <is>
          <t>Action requires confirm; logged to audit_logs</t>
        </is>
      </c>
      <c r="H69" s="92" t="inlineStr">
        <is>
          <t>Dev</t>
        </is>
      </c>
      <c r="I69" s="92" t="inlineStr">
        <is>
          <t>High</t>
        </is>
      </c>
      <c r="J69" s="92" t="inlineStr">
        <is>
          <t>Not Started</t>
        </is>
      </c>
    </row>
    <row r="70" ht="22.35" customHeight="1" s="69">
      <c r="A70" s="102" t="inlineStr">
        <is>
          <t>Phase 2</t>
        </is>
      </c>
      <c r="B70" s="90" t="inlineStr">
        <is>
          <t>Sprint 11</t>
        </is>
      </c>
      <c r="C70" s="90" t="inlineStr">
        <is>
          <t>25–26</t>
        </is>
      </c>
      <c r="D70" s="90" t="inlineStr">
        <is>
          <t>—</t>
        </is>
      </c>
      <c r="E70" s="103" t="inlineStr">
        <is>
          <t>Learning Loop</t>
        </is>
      </c>
      <c r="F70" s="92" t="inlineStr">
        <is>
          <t>Playbook library UI: accumulate from real executions; rejection-reason data feeding KB gap identification</t>
        </is>
      </c>
      <c r="G70" s="92" t="inlineStr">
        <is>
          <t>20+ playbooks visible with usage counts</t>
        </is>
      </c>
      <c r="H70" s="92" t="inlineStr">
        <is>
          <t>Dev</t>
        </is>
      </c>
      <c r="I70" s="92" t="inlineStr">
        <is>
          <t>Medium</t>
        </is>
      </c>
      <c r="J70" s="92" t="inlineStr">
        <is>
          <t>Not Started</t>
        </is>
      </c>
    </row>
    <row r="71" ht="22.35" customHeight="1" s="69">
      <c r="A71" s="102" t="inlineStr">
        <is>
          <t>Phase 2</t>
        </is>
      </c>
      <c r="B71" s="90" t="inlineStr">
        <is>
          <t>Sprint 12</t>
        </is>
      </c>
      <c r="C71" s="90" t="inlineStr">
        <is>
          <t>27–28</t>
        </is>
      </c>
      <c r="D71" s="90" t="inlineStr">
        <is>
          <t>—</t>
        </is>
      </c>
      <c r="E71" s="103" t="inlineStr">
        <is>
          <t>Reliability</t>
        </is>
      </c>
      <c r="F71" s="92" t="inlineStr">
        <is>
          <t>Per-customer circuit breaker hardening + failure analytics; PARTIAL_EXECUTION triage queue</t>
        </is>
      </c>
      <c r="G71" s="92" t="inlineStr">
        <is>
          <t>3 consecutive failures auto-pause verified</t>
        </is>
      </c>
      <c r="H71" s="92" t="inlineStr">
        <is>
          <t>Dev</t>
        </is>
      </c>
      <c r="I71" s="92" t="inlineStr">
        <is>
          <t>High</t>
        </is>
      </c>
      <c r="J71" s="92" t="inlineStr">
        <is>
          <t>Not Started</t>
        </is>
      </c>
    </row>
    <row r="72" ht="22.35" customHeight="1" s="69">
      <c r="A72" s="102" t="inlineStr">
        <is>
          <t>Phase 2</t>
        </is>
      </c>
      <c r="B72" s="90" t="inlineStr">
        <is>
          <t>Sprint 12</t>
        </is>
      </c>
      <c r="C72" s="90" t="inlineStr">
        <is>
          <t>27–28</t>
        </is>
      </c>
      <c r="D72" s="90" t="inlineStr">
        <is>
          <t>—</t>
        </is>
      </c>
      <c r="E72" s="103" t="inlineStr">
        <is>
          <t>Reporting</t>
        </is>
      </c>
      <c r="F72" s="92" t="inlineStr">
        <is>
          <t>Reporting dashboard: classification accuracy, plan approval rate, reply edit rate, SLA hit rate, chat answer accuracy</t>
        </is>
      </c>
      <c r="G72" s="92" t="inlineStr">
        <is>
          <t>Metrics match llm_invocation_logs ground truth</t>
        </is>
      </c>
      <c r="H72" s="92" t="inlineStr">
        <is>
          <t>Dev</t>
        </is>
      </c>
      <c r="I72" s="92" t="inlineStr">
        <is>
          <t>Medium</t>
        </is>
      </c>
      <c r="J72" s="92" t="inlineStr">
        <is>
          <t>Not Started</t>
        </is>
      </c>
    </row>
    <row r="73" ht="22.35" customHeight="1" s="69">
      <c r="A73" s="102" t="inlineStr">
        <is>
          <t>Phase 2</t>
        </is>
      </c>
      <c r="B73" s="90" t="inlineStr">
        <is>
          <t>Sprint 13</t>
        </is>
      </c>
      <c r="C73" s="90" t="inlineStr">
        <is>
          <t>29–30</t>
        </is>
      </c>
      <c r="D73" s="90" t="inlineStr">
        <is>
          <t>—</t>
        </is>
      </c>
      <c r="E73" s="103" t="inlineStr">
        <is>
          <t>Exit Gate</t>
        </is>
      </c>
      <c r="F73" s="92" t="inlineStr">
        <is>
          <t>Phase 2 exit: 20+ executions in playbook library; classification accuracy &gt; 80%; chat answer accuracy &gt; 85%</t>
        </is>
      </c>
      <c r="G73" s="92" t="inlineStr">
        <is>
          <t>Mgmt review</t>
        </is>
      </c>
      <c r="H73" s="92" t="inlineStr">
        <is>
          <t>Mgmt</t>
        </is>
      </c>
      <c r="I73" s="93" t="inlineStr">
        <is>
          <t>Critical</t>
        </is>
      </c>
      <c r="J73" s="92" t="inlineStr">
        <is>
          <t>Not Started</t>
        </is>
      </c>
    </row>
    <row r="74" ht="32.8" customHeight="1" s="69">
      <c r="A74" s="104" t="inlineStr">
        <is>
          <t>Phase 3</t>
        </is>
      </c>
      <c r="B74" s="90" t="inlineStr">
        <is>
          <t>Sprint 14</t>
        </is>
      </c>
      <c r="C74" s="90" t="inlineStr">
        <is>
          <t>31–32</t>
        </is>
      </c>
      <c r="D74" s="90" t="inlineStr">
        <is>
          <t>—</t>
        </is>
      </c>
      <c r="E74" s="103" t="inlineStr">
        <is>
          <t>Assignment</t>
        </is>
      </c>
      <c r="F74" s="92" t="inlineStr">
        <is>
          <t>Round-robin auto-assignment: pool excludes devs on approved leave (native HR check), dedicated-client devs, and over load threshold (O11); assignment reason logged</t>
        </is>
      </c>
      <c r="G74" s="92" t="inlineStr">
        <is>
          <t>Assignment skips on-leave dev in test</t>
        </is>
      </c>
      <c r="H74" s="92" t="inlineStr">
        <is>
          <t>Dev Lead</t>
        </is>
      </c>
      <c r="I74" s="92" t="inlineStr">
        <is>
          <t>High</t>
        </is>
      </c>
      <c r="J74" s="92" t="inlineStr">
        <is>
          <t>Not Started</t>
        </is>
      </c>
    </row>
    <row r="75" ht="22.35" customHeight="1" s="69">
      <c r="A75" s="104" t="inlineStr">
        <is>
          <t>Phase 3</t>
        </is>
      </c>
      <c r="B75" s="90" t="inlineStr">
        <is>
          <t>Sprint 15</t>
        </is>
      </c>
      <c r="C75" s="90" t="inlineStr">
        <is>
          <t>33–34</t>
        </is>
      </c>
      <c r="D75" s="90" t="inlineStr">
        <is>
          <t>—</t>
        </is>
      </c>
      <c r="E75" s="103" t="inlineStr">
        <is>
          <t>Assignment</t>
        </is>
      </c>
      <c r="F75" s="92" t="inlineStr">
        <is>
          <t>Multi-developer assignment per task; workload-aware balancing with PM-configurable thresholds</t>
        </is>
      </c>
      <c r="G75" s="92" t="inlineStr">
        <is>
          <t>—</t>
        </is>
      </c>
      <c r="H75" s="92" t="inlineStr">
        <is>
          <t>Dev</t>
        </is>
      </c>
      <c r="I75" s="92" t="inlineStr">
        <is>
          <t>High</t>
        </is>
      </c>
      <c r="J75" s="92" t="inlineStr">
        <is>
          <t>Not Started</t>
        </is>
      </c>
    </row>
    <row r="76" ht="22.35" customHeight="1" s="69">
      <c r="A76" s="104" t="inlineStr">
        <is>
          <t>Phase 3</t>
        </is>
      </c>
      <c r="B76" s="90" t="inlineStr">
        <is>
          <t>Sprint 16</t>
        </is>
      </c>
      <c r="C76" s="90" t="inlineStr">
        <is>
          <t>35–36</t>
        </is>
      </c>
      <c r="D76" s="90" t="inlineStr">
        <is>
          <t>—</t>
        </is>
      </c>
      <c r="E76" s="103" t="inlineStr">
        <is>
          <t>Calibration</t>
        </is>
      </c>
      <c r="F76" s="92" t="inlineStr">
        <is>
          <t>Confidence calibration reporting (predicted vs actual outcomes); wiki health dashboard (stale content, lint findings, KB coverage)</t>
        </is>
      </c>
      <c r="G76" s="92" t="inlineStr">
        <is>
          <t>Calibration chart trending in reports</t>
        </is>
      </c>
      <c r="H76" s="92" t="inlineStr">
        <is>
          <t>Dev</t>
        </is>
      </c>
      <c r="I76" s="92" t="inlineStr">
        <is>
          <t>Medium</t>
        </is>
      </c>
      <c r="J76" s="92" t="inlineStr">
        <is>
          <t>Not Started</t>
        </is>
      </c>
    </row>
    <row r="77" ht="15" customHeight="1" s="69">
      <c r="A77" s="104" t="inlineStr">
        <is>
          <t>Phase 3</t>
        </is>
      </c>
      <c r="B77" s="90" t="inlineStr">
        <is>
          <t>Sprint 17</t>
        </is>
      </c>
      <c r="C77" s="90" t="inlineStr">
        <is>
          <t>37–38</t>
        </is>
      </c>
      <c r="D77" s="90" t="inlineStr">
        <is>
          <t>—</t>
        </is>
      </c>
      <c r="E77" s="103" t="inlineStr">
        <is>
          <t>Learning Loop</t>
        </is>
      </c>
      <c r="F77" s="92" t="inlineStr">
        <is>
          <t>Knowledge gap closure workflow: rejection -&gt; KB stub -&gt; PM fills -&gt; re-test</t>
        </is>
      </c>
      <c r="G77" s="92" t="inlineStr">
        <is>
          <t>One gap closed end-to-end</t>
        </is>
      </c>
      <c r="H77" s="92" t="inlineStr">
        <is>
          <t>Dev</t>
        </is>
      </c>
      <c r="I77" s="92" t="inlineStr">
        <is>
          <t>Medium</t>
        </is>
      </c>
      <c r="J77" s="92" t="inlineStr">
        <is>
          <t>Not Started</t>
        </is>
      </c>
    </row>
    <row r="78" ht="15" customHeight="1" s="69">
      <c r="A78" s="104" t="inlineStr">
        <is>
          <t>Phase 3</t>
        </is>
      </c>
      <c r="B78" s="90" t="inlineStr">
        <is>
          <t>Sprint 17</t>
        </is>
      </c>
      <c r="C78" s="90" t="inlineStr">
        <is>
          <t>37–38</t>
        </is>
      </c>
      <c r="D78" s="90" t="inlineStr">
        <is>
          <t>—</t>
        </is>
      </c>
      <c r="E78" s="103" t="inlineStr">
        <is>
          <t>Exit Gate</t>
        </is>
      </c>
      <c r="F78" s="92" t="inlineStr">
        <is>
          <t>Phase 3 exit: confidence measurably improving; digest rating &gt; 75% Useful</t>
        </is>
      </c>
      <c r="G78" s="92" t="inlineStr">
        <is>
          <t>Mgmt review</t>
        </is>
      </c>
      <c r="H78" s="92" t="inlineStr">
        <is>
          <t>Mgmt</t>
        </is>
      </c>
      <c r="I78" s="93" t="inlineStr">
        <is>
          <t>Critical</t>
        </is>
      </c>
      <c r="J78" s="92" t="inlineStr">
        <is>
          <t>Not Started</t>
        </is>
      </c>
    </row>
    <row r="79" ht="22.35" customHeight="1" s="69">
      <c r="A79" s="105" t="inlineStr">
        <is>
          <t>Phase 4</t>
        </is>
      </c>
      <c r="B79" s="90" t="inlineStr">
        <is>
          <t>Sprint 18+</t>
        </is>
      </c>
      <c r="C79" s="90" t="inlineStr">
        <is>
          <t>39+ (TBD)</t>
        </is>
      </c>
      <c r="D79" s="90" t="inlineStr">
        <is>
          <t>—</t>
        </is>
      </c>
      <c r="E79" s="103" t="inlineStr">
        <is>
          <t>Autonomy</t>
        </is>
      </c>
      <c r="F79" s="92" t="inlineStr">
        <is>
          <t>Full autonomous execution for Tier 3 customers (PM notified post-execution)</t>
        </is>
      </c>
      <c r="G79" s="92" t="inlineStr">
        <is>
          <t>0 failures over 30 days for one customer</t>
        </is>
      </c>
      <c r="H79" s="92" t="inlineStr">
        <is>
          <t>Dev Lead</t>
        </is>
      </c>
      <c r="I79" s="92" t="inlineStr">
        <is>
          <t>High</t>
        </is>
      </c>
      <c r="J79" s="92" t="inlineStr">
        <is>
          <t>Not Started</t>
        </is>
      </c>
    </row>
    <row r="80" ht="22.35" customHeight="1" s="69">
      <c r="A80" s="105" t="inlineStr">
        <is>
          <t>Phase 4</t>
        </is>
      </c>
      <c r="B80" s="90" t="inlineStr">
        <is>
          <t>Sprint 18+</t>
        </is>
      </c>
      <c r="C80" s="90" t="inlineStr">
        <is>
          <t>39+ (TBD)</t>
        </is>
      </c>
      <c r="D80" s="90" t="inlineStr">
        <is>
          <t>—</t>
        </is>
      </c>
      <c r="E80" s="103" t="inlineStr">
        <is>
          <t>Autonomy</t>
        </is>
      </c>
      <c r="F80" s="92" t="inlineStr">
        <is>
          <t>Auto-send reply with configurable review window</t>
        </is>
      </c>
      <c r="G80" s="92" t="inlineStr">
        <is>
          <t>—</t>
        </is>
      </c>
      <c r="H80" s="92" t="inlineStr">
        <is>
          <t>Dev</t>
        </is>
      </c>
      <c r="I80" s="92" t="inlineStr">
        <is>
          <t>High</t>
        </is>
      </c>
      <c r="J80" s="92" t="inlineStr">
        <is>
          <t>Not Started</t>
        </is>
      </c>
    </row>
    <row r="81" ht="22.35" customHeight="1" s="69">
      <c r="A81" s="105" t="inlineStr">
        <is>
          <t>Phase 4</t>
        </is>
      </c>
      <c r="B81" s="90" t="inlineStr">
        <is>
          <t>Sprint 18+</t>
        </is>
      </c>
      <c r="C81" s="90" t="inlineStr">
        <is>
          <t>39+ (TBD)</t>
        </is>
      </c>
      <c r="D81" s="90" t="inlineStr">
        <is>
          <t>—</t>
        </is>
      </c>
      <c r="E81" s="103" t="inlineStr">
        <is>
          <t>Learning Loop</t>
        </is>
      </c>
      <c r="F81" s="92" t="inlineStr">
        <is>
          <t>LLM Wiki fine-tuning data export; cross-customer pattern recognition from aggregate execution data</t>
        </is>
      </c>
      <c r="G81" s="92" t="inlineStr">
        <is>
          <t>—</t>
        </is>
      </c>
      <c r="H81" s="92" t="inlineStr">
        <is>
          <t>Dev</t>
        </is>
      </c>
      <c r="I81" s="92" t="inlineStr">
        <is>
          <t>Medium</t>
        </is>
      </c>
      <c r="J81" s="92" t="inlineStr">
        <is>
          <t>Not Started</t>
        </is>
      </c>
    </row>
    <row r="82" ht="22.35" customHeight="1" s="69">
      <c r="A82" s="105" t="inlineStr">
        <is>
          <t>Phase 4</t>
        </is>
      </c>
      <c r="B82" s="90" t="inlineStr">
        <is>
          <t>Sprint 18+</t>
        </is>
      </c>
      <c r="C82" s="90" t="inlineStr">
        <is>
          <t>39+ (TBD)</t>
        </is>
      </c>
      <c r="D82" s="90" t="inlineStr">
        <is>
          <t>—</t>
        </is>
      </c>
      <c r="E82" s="103" t="inlineStr">
        <is>
          <t>Enablement</t>
        </is>
      </c>
      <c r="F82" s="92" t="inlineStr">
        <is>
          <t>PM Handoff briefing: one-click project briefing generation for new PMs</t>
        </is>
      </c>
      <c r="G82" s="92" t="inlineStr">
        <is>
          <t>—</t>
        </is>
      </c>
      <c r="H82" s="92" t="inlineStr">
        <is>
          <t>Dev</t>
        </is>
      </c>
      <c r="I82" s="92" t="inlineStr">
        <is>
          <t>Medium</t>
        </is>
      </c>
      <c r="J82" s="92" t="inlineStr">
        <is>
          <t>Not Started</t>
        </is>
      </c>
    </row>
    <row r="83" ht="22.35" customHeight="1" s="69">
      <c r="A83" s="105" t="inlineStr">
        <is>
          <t>Phase 4</t>
        </is>
      </c>
      <c r="B83" s="90" t="inlineStr">
        <is>
          <t>Sprint 18+</t>
        </is>
      </c>
      <c r="C83" s="90" t="inlineStr">
        <is>
          <t>39+ (TBD)</t>
        </is>
      </c>
      <c r="D83" s="90" t="inlineStr">
        <is>
          <t>—</t>
        </is>
      </c>
      <c r="E83" s="103" t="inlineStr">
        <is>
          <t>Exit Gate</t>
        </is>
      </c>
      <c r="F83" s="92" t="inlineStr">
        <is>
          <t>Phase 4 exit: one customer at full autonomous tier, 0 failures over 30 days</t>
        </is>
      </c>
      <c r="G83" s="92" t="inlineStr">
        <is>
          <t>Mgmt review</t>
        </is>
      </c>
      <c r="H83" s="92" t="inlineStr">
        <is>
          <t>Mgmt</t>
        </is>
      </c>
      <c r="I83" s="93" t="inlineStr">
        <is>
          <t>Critical</t>
        </is>
      </c>
      <c r="J83" s="92" t="inlineStr">
        <is>
          <t>Not Started</t>
        </is>
      </c>
    </row>
  </sheetData>
  <autoFilter ref="A4:J83"/>
  <dataValidations count="2">
    <dataValidation sqref="J5:J83" showDropDown="0" showInputMessage="0" showErrorMessage="0" allowBlank="0" type="list" errorStyle="stop" operator="between">
      <formula1>"Not Started,In Progress,Done,Blocked"</formula1>
      <formula2>0</formula2>
    </dataValidation>
    <dataValidation sqref="I5:I83" showDropDown="0" showInputMessage="0" showErrorMessage="0" allowBlank="0" type="list" errorStyle="stop" operator="between">
      <formula1>"Critical,High,Medium,Low"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68" min="1" max="1"/>
    <col width="26" customWidth="1" style="68" min="2" max="2"/>
    <col width="72" customWidth="1" style="68" min="3" max="3"/>
    <col width="12" customWidth="1" style="68" min="4" max="4"/>
    <col width="10" customWidth="1" style="68" min="5" max="5"/>
  </cols>
  <sheetData>
    <row r="1" ht="19.7" customHeight="1" s="69">
      <c r="A1" s="70" t="inlineStr">
        <is>
          <t>MVP Milestones (M1–M13) and Acceptance Criteria (AC1–AC6)</t>
        </is>
      </c>
    </row>
    <row r="4" ht="15" customHeight="1" s="69">
      <c r="A4" s="72" t="inlineStr">
        <is>
          <t>ID</t>
        </is>
      </c>
      <c r="B4" s="72" t="inlineStr">
        <is>
          <t>Name</t>
        </is>
      </c>
      <c r="C4" s="72" t="inlineStr">
        <is>
          <t>Scope Summary</t>
        </is>
      </c>
      <c r="D4" s="72" t="inlineStr">
        <is>
          <t>Sprint(s)</t>
        </is>
      </c>
      <c r="E4" s="72" t="inlineStr">
        <is>
          <t>Phase</t>
        </is>
      </c>
    </row>
    <row r="5" ht="15" customHeight="1" s="69">
      <c r="A5" s="84" t="inlineStr">
        <is>
          <t>M1</t>
        </is>
      </c>
      <c r="B5" s="84" t="inlineStr">
        <is>
          <t>Customer &amp; Onboarding</t>
        </is>
      </c>
      <c r="C5" s="106" t="inlineStr">
        <is>
          <t>Customer creation, tokenized onboarding URL, dynamic forms, profile + product mapping</t>
        </is>
      </c>
      <c r="D5" s="107" t="inlineStr">
        <is>
          <t>Sprint 1</t>
        </is>
      </c>
      <c r="E5" s="108" t="inlineStr">
        <is>
          <t>Phase 1A</t>
        </is>
      </c>
    </row>
    <row r="6" ht="15" customHeight="1" s="69">
      <c r="A6" s="84" t="inlineStr">
        <is>
          <t>M2</t>
        </is>
      </c>
      <c r="B6" s="84" t="inlineStr">
        <is>
          <t>Native Desk + Classification</t>
        </is>
      </c>
      <c r="C6" s="106" t="inlineStr">
        <is>
          <t>Portal + email-to-ticket; classification &lt; 60s; reclassification UI</t>
        </is>
      </c>
      <c r="D6" s="107" t="inlineStr">
        <is>
          <t>Sprint 3</t>
        </is>
      </c>
      <c r="E6" s="108" t="inlineStr">
        <is>
          <t>Phase 1A</t>
        </is>
      </c>
    </row>
    <row r="7" ht="15" customHeight="1" s="69">
      <c r="A7" s="84" t="inlineStr">
        <is>
          <t>M3</t>
        </is>
      </c>
      <c r="B7" s="84" t="inlineStr">
        <is>
          <t>Requirements Assessment</t>
        </is>
      </c>
      <c r="C7" s="106" t="inlineStr">
        <is>
          <t>CLEAR/PARTIAL/BLOCKED, clarification drafts, re-assessment on reply</t>
        </is>
      </c>
      <c r="D7" s="107" t="inlineStr">
        <is>
          <t>Sprint 6</t>
        </is>
      </c>
      <c r="E7" s="109" t="inlineStr">
        <is>
          <t>Phase 1C</t>
        </is>
      </c>
    </row>
    <row r="8" ht="15" customHeight="1" s="69">
      <c r="A8" s="84" t="inlineStr">
        <is>
          <t>M4</t>
        </is>
      </c>
      <c r="B8" s="84" t="inlineStr">
        <is>
          <t>Daily Digest</t>
        </is>
      </c>
      <c r="C8" s="106" t="inlineStr">
        <is>
          <t>Precompiled digest_logs + ratings + HR signals for managers</t>
        </is>
      </c>
      <c r="D8" s="107" t="inlineStr">
        <is>
          <t>Sprint 6</t>
        </is>
      </c>
      <c r="E8" s="109" t="inlineStr">
        <is>
          <t>Phase 1C</t>
        </is>
      </c>
    </row>
    <row r="9" ht="15" customHeight="1" s="69">
      <c r="A9" s="84" t="inlineStr">
        <is>
          <t>M5</t>
        </is>
      </c>
      <c r="B9" s="84" t="inlineStr">
        <is>
          <t>Plan Generation (manual)</t>
        </is>
      </c>
      <c r="C9" s="106" t="inlineStr">
        <is>
          <t>Plans with risk flags + human approval gate, structured rejections</t>
        </is>
      </c>
      <c r="D9" s="107" t="inlineStr">
        <is>
          <t>Sprint 7</t>
        </is>
      </c>
      <c r="E9" s="109" t="inlineStr">
        <is>
          <t>Phase 1C</t>
        </is>
      </c>
    </row>
    <row r="10" ht="15" customHeight="1" s="69">
      <c r="A10" s="84" t="inlineStr">
        <is>
          <t>M6</t>
        </is>
      </c>
      <c r="B10" s="84" t="inlineStr">
        <is>
          <t>Execution + Reply</t>
        </is>
      </c>
      <c r="C10" s="106" t="inlineStr">
        <is>
          <t>Sanity / GitHub PR / MCP modes, revert, circuit breaker; Haiku replies via Resend</t>
        </is>
      </c>
      <c r="D10" s="107" t="inlineStr">
        <is>
          <t>Sprint 8</t>
        </is>
      </c>
      <c r="E10" s="109" t="inlineStr">
        <is>
          <t>Phase 1C</t>
        </is>
      </c>
    </row>
    <row r="11" ht="15" customHeight="1" s="69">
      <c r="A11" s="84" t="inlineStr">
        <is>
          <t>M7</t>
        </is>
      </c>
      <c r="B11" s="84" t="inlineStr">
        <is>
          <t>Native Project Management</t>
        </is>
      </c>
      <c r="C11" s="106" t="inlineStr">
        <is>
          <t>Projects auto-create, Kanban/list/calendar, comments, attachments, live boards</t>
        </is>
      </c>
      <c r="D11" s="107" t="inlineStr">
        <is>
          <t>Sprints 1–2</t>
        </is>
      </c>
      <c r="E11" s="108" t="inlineStr">
        <is>
          <t>Phase 1A</t>
        </is>
      </c>
    </row>
    <row r="12" ht="15" customHeight="1" s="69">
      <c r="A12" s="84" t="inlineStr">
        <is>
          <t>M8</t>
        </is>
      </c>
      <c r="B12" s="84" t="inlineStr">
        <is>
          <t>Time Tracking</t>
        </is>
      </c>
      <c r="C12" s="106" t="inlineStr">
        <is>
          <t>Timer + manual time_logs, PM hours queries, export</t>
        </is>
      </c>
      <c r="D12" s="107" t="inlineStr">
        <is>
          <t>Sprint 2</t>
        </is>
      </c>
      <c r="E12" s="108" t="inlineStr">
        <is>
          <t>Phase 1A</t>
        </is>
      </c>
    </row>
    <row r="13" ht="15" customHeight="1" s="69">
      <c r="A13" s="84" t="inlineStr">
        <is>
          <t>M9</t>
        </is>
      </c>
      <c r="B13" s="84" t="inlineStr">
        <is>
          <t>Developer Dashboard</t>
        </is>
      </c>
      <c r="C13" s="106" t="inlineStr">
        <is>
          <t>Today view, team pool self-assign, hours, prompt queries</t>
        </is>
      </c>
      <c r="D13" s="107" t="inlineStr">
        <is>
          <t>Sprint 3</t>
        </is>
      </c>
      <c r="E13" s="108" t="inlineStr">
        <is>
          <t>Phase 1A</t>
        </is>
      </c>
    </row>
    <row r="14" ht="15" customHeight="1" s="69">
      <c r="A14" s="84" t="inlineStr">
        <is>
          <t>M10</t>
        </is>
      </c>
      <c r="B14" s="84" t="inlineStr">
        <is>
          <t>LLM Wiki Seed</t>
        </is>
      </c>
      <c r="C14" s="106" t="inlineStr">
        <is>
          <t>Internal + Customer KB scaffold, seed playbooks, Wiki Lint cron, HR policy pages</t>
        </is>
      </c>
      <c r="D14" s="107" t="inlineStr">
        <is>
          <t>Sprint 7</t>
        </is>
      </c>
      <c r="E14" s="109" t="inlineStr">
        <is>
          <t>Phase 1C</t>
        </is>
      </c>
    </row>
    <row r="15" ht="23.85" customHeight="1" s="69">
      <c r="A15" s="84" t="inlineStr">
        <is>
          <t>M11</t>
        </is>
      </c>
      <c r="B15" s="84" t="inlineStr">
        <is>
          <t>HR Core</t>
        </is>
      </c>
      <c r="C15" s="106" t="inlineStr">
        <is>
          <t>Directory, clock in/out (offline-queued), derived attendance, leaves + balances, timesheets, announcements, push</t>
        </is>
      </c>
      <c r="D15" s="107" t="inlineStr">
        <is>
          <t>Sprints 4–5</t>
        </is>
      </c>
      <c r="E15" s="110" t="inlineStr">
        <is>
          <t>Phase 1B</t>
        </is>
      </c>
    </row>
    <row r="16" ht="15" customHeight="1" s="69">
      <c r="A16" s="84" t="inlineStr">
        <is>
          <t>M12</t>
        </is>
      </c>
      <c r="B16" s="84" t="inlineStr">
        <is>
          <t>Migration Complete</t>
        </is>
      </c>
      <c r="C16" s="106" t="inlineStr">
        <is>
          <t>HR -&gt; Desk -&gt; Projects cutovers; Zoho read-only</t>
        </is>
      </c>
      <c r="D16" s="107" t="inlineStr">
        <is>
          <t>Sprint 9</t>
        </is>
      </c>
      <c r="E16" s="111" t="inlineStr">
        <is>
          <t>Phase 1D</t>
        </is>
      </c>
    </row>
    <row r="17" ht="23.85" customHeight="1" s="69">
      <c r="A17" s="84" t="inlineStr">
        <is>
          <t>M13</t>
        </is>
      </c>
      <c r="B17" s="84" t="inlineStr">
        <is>
          <t>Unified AI Chat</t>
        </is>
      </c>
      <c r="C17" s="106" t="inlineStr">
        <is>
          <t>Global panel + Cmd-K, role-scoped tools across PM/Desk/HR, KB-grounded answers, deep links, ratings</t>
        </is>
      </c>
      <c r="D17" s="107" t="inlineStr">
        <is>
          <t>Sprints 7–8</t>
        </is>
      </c>
      <c r="E17" s="109" t="inlineStr">
        <is>
          <t>Phase 1C</t>
        </is>
      </c>
    </row>
    <row r="18" ht="23.85" customHeight="1" s="69">
      <c r="A18" s="84" t="inlineStr">
        <is>
          <t>M14</t>
        </is>
      </c>
      <c r="B18" s="84" t="inlineStr">
        <is>
          <t>MVP Stats Page</t>
        </is>
      </c>
      <c r="C18" s="106" t="inlineStr">
        <is>
          <t>Read-only: hours by dev/project, task throughput, ticket volume + SLA, attendance summary (D25)</t>
        </is>
      </c>
      <c r="D18" s="107" t="inlineStr">
        <is>
          <t>Sprint 6</t>
        </is>
      </c>
      <c r="E18" s="109" t="inlineStr">
        <is>
          <t>Phase 1C</t>
        </is>
      </c>
    </row>
    <row r="20" ht="15" customHeight="1" s="69">
      <c r="A20" s="72" t="inlineStr">
        <is>
          <t>AC</t>
        </is>
      </c>
      <c r="B20" s="72" t="inlineStr">
        <is>
          <t>Acceptance Criterion</t>
        </is>
      </c>
      <c r="C20" s="72" t="inlineStr">
        <is>
          <t>Proven in</t>
        </is>
      </c>
    </row>
    <row r="21" ht="46.25" customHeight="1" s="69">
      <c r="A21" s="84" t="inlineStr">
        <is>
          <t>AC1</t>
        </is>
      </c>
      <c r="B21" s="106" t="inlineStr">
        <is>
          <t>Client submits a request from a phone via the portal; PM sees it classified in the Hub within 60 seconds.</t>
        </is>
      </c>
      <c r="C21" s="107" t="inlineStr">
        <is>
          <t>Sprint 3</t>
        </is>
      </c>
    </row>
    <row r="22" ht="46.25" customHeight="1" s="69">
      <c r="A22" s="84" t="inlineStr">
        <is>
          <t>AC2</t>
        </is>
      </c>
      <c r="B22" s="106" t="inlineStr">
        <is>
          <t>A CONTENT_UPDATE completes classify -&gt; plan -&gt; approve -&gt; execute -&gt; client reply without leaving the Hub.</t>
        </is>
      </c>
      <c r="C22" s="107" t="inlineStr">
        <is>
          <t>Sprint 8</t>
        </is>
      </c>
    </row>
    <row r="23" ht="46.25" customHeight="1" s="69">
      <c r="A23" s="84" t="inlineStr">
        <is>
          <t>AC3</t>
        </is>
      </c>
      <c r="B23" s="106" t="inlineStr">
        <is>
          <t>Developer self-assigns from the team pool; PM gets a realtime notification; hours appear in PM hours view.</t>
        </is>
      </c>
      <c r="C23" s="107" t="inlineStr">
        <is>
          <t>Sprint 3</t>
        </is>
      </c>
    </row>
    <row r="24" ht="46.25" customHeight="1" s="69">
      <c r="A24" s="84" t="inlineStr">
        <is>
          <t>AC4</t>
        </is>
      </c>
      <c r="B24" s="106" t="inlineStr">
        <is>
          <t>Employee clocks in on mobile, files a half-day leave, gets approval — balance, calendar, and pool update automatically.</t>
        </is>
      </c>
      <c r="C24" s="107" t="inlineStr">
        <is>
          <t>Sprint 5</t>
        </is>
      </c>
    </row>
    <row r="25" ht="35.05" customHeight="1" s="69">
      <c r="A25" s="84" t="inlineStr">
        <is>
          <t>AC5</t>
        </is>
      </c>
      <c r="B25" s="106" t="inlineStr">
        <is>
          <t>Full payroll-period timesheet export produced from Hub data with zero reference to Zoho.</t>
        </is>
      </c>
      <c r="C25" s="107" t="inlineStr">
        <is>
          <t>Sprint 5</t>
        </is>
      </c>
    </row>
    <row r="26" ht="57.45" customHeight="1" s="69">
      <c r="A26" s="84" t="inlineStr">
        <is>
          <t>AC6</t>
        </is>
      </c>
      <c r="B26" s="106" t="inlineStr">
        <is>
          <t>PM asks the chat 'what are today's priority tasks, and who is absent?' and gets an accurate, RLS-scoped answer with links.</t>
        </is>
      </c>
      <c r="C26" s="107" t="inlineStr">
        <is>
          <t>Sprint 8</t>
        </is>
      </c>
    </row>
    <row r="27" ht="57.45" customHeight="1" s="69">
      <c r="A27" s="84" t="inlineStr">
        <is>
          <t>AC7</t>
        </is>
      </c>
      <c r="B27" s="106" t="inlineStr">
        <is>
          <t>PM clicks 'Publish to dev' on a completed content task; dev URL appears on the task and in the drafted client reply (US-PUB-1).</t>
        </is>
      </c>
      <c r="C27" s="107" t="inlineStr">
        <is>
          <t>Sprint 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68" min="1" max="1"/>
    <col width="44" customWidth="1" style="68" min="2" max="2"/>
    <col width="3.2" customWidth="1" style="68" min="3" max="40"/>
  </cols>
  <sheetData>
    <row r="1" ht="19.7" customHeight="1" s="69">
      <c r="A1" s="70" t="inlineStr">
        <is>
          <t>Timeline — Weeks 1–38 (Phase 4 TBD)</t>
        </is>
      </c>
    </row>
    <row r="2" ht="15" customHeight="1" s="69">
      <c r="A2" s="71" t="inlineStr">
        <is>
          <t>One row per sprint; colored cells = active weeks. MVP exit marker at Week 22.</t>
        </is>
      </c>
    </row>
    <row r="4" ht="15" customHeight="1" s="69">
      <c r="A4" s="112" t="inlineStr">
        <is>
          <t>Sprint</t>
        </is>
      </c>
      <c r="B4" s="112" t="inlineStr">
        <is>
          <t>Focus</t>
        </is>
      </c>
      <c r="C4" s="113" t="n">
        <v>1</v>
      </c>
      <c r="D4" s="113" t="n">
        <v>2</v>
      </c>
      <c r="E4" s="113" t="n">
        <v>3</v>
      </c>
      <c r="F4" s="113" t="n">
        <v>4</v>
      </c>
      <c r="G4" s="113" t="n">
        <v>5</v>
      </c>
      <c r="H4" s="113" t="n">
        <v>6</v>
      </c>
      <c r="I4" s="113" t="n">
        <v>7</v>
      </c>
      <c r="J4" s="113" t="n">
        <v>8</v>
      </c>
      <c r="K4" s="113" t="n">
        <v>9</v>
      </c>
      <c r="L4" s="113" t="n">
        <v>10</v>
      </c>
      <c r="M4" s="113" t="n">
        <v>11</v>
      </c>
      <c r="N4" s="113" t="n">
        <v>12</v>
      </c>
      <c r="O4" s="113" t="n">
        <v>13</v>
      </c>
      <c r="P4" s="113" t="n">
        <v>14</v>
      </c>
      <c r="Q4" s="113" t="n">
        <v>15</v>
      </c>
      <c r="R4" s="113" t="n">
        <v>16</v>
      </c>
      <c r="S4" s="113" t="n">
        <v>17</v>
      </c>
      <c r="T4" s="113" t="n">
        <v>18</v>
      </c>
      <c r="U4" s="113" t="n">
        <v>19</v>
      </c>
      <c r="V4" s="113" t="n">
        <v>20</v>
      </c>
      <c r="W4" s="113" t="n">
        <v>21</v>
      </c>
      <c r="X4" s="114" t="n">
        <v>22</v>
      </c>
      <c r="Y4" s="113" t="n">
        <v>23</v>
      </c>
      <c r="Z4" s="113" t="n">
        <v>24</v>
      </c>
      <c r="AA4" s="113" t="n">
        <v>25</v>
      </c>
      <c r="AB4" s="113" t="n">
        <v>26</v>
      </c>
      <c r="AC4" s="113" t="n">
        <v>27</v>
      </c>
      <c r="AD4" s="113" t="n">
        <v>28</v>
      </c>
      <c r="AE4" s="113" t="n">
        <v>29</v>
      </c>
      <c r="AF4" s="113" t="n">
        <v>30</v>
      </c>
      <c r="AG4" s="113" t="n">
        <v>31</v>
      </c>
      <c r="AH4" s="113" t="n">
        <v>32</v>
      </c>
      <c r="AI4" s="113" t="n">
        <v>33</v>
      </c>
      <c r="AJ4" s="113" t="n">
        <v>34</v>
      </c>
      <c r="AK4" s="113" t="n">
        <v>35</v>
      </c>
      <c r="AL4" s="113" t="n">
        <v>36</v>
      </c>
      <c r="AM4" s="113" t="n">
        <v>37</v>
      </c>
      <c r="AN4" s="113" t="n">
        <v>38</v>
      </c>
    </row>
    <row r="5" ht="15" customHeight="1" s="69">
      <c r="A5" s="115" t="inlineStr">
        <is>
          <t>Sprint 0A</t>
        </is>
      </c>
      <c r="B5" s="116" t="inlineStr">
        <is>
          <t>Schema + auth + RLS + codebase mapping</t>
        </is>
      </c>
      <c r="C5" s="117" t="n"/>
      <c r="D5" s="117" t="n"/>
      <c r="E5" s="85" t="n"/>
      <c r="F5" s="85" t="n"/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</row>
    <row r="6" ht="15" customHeight="1" s="69">
      <c r="A6" s="115" t="inlineStr">
        <is>
          <t>Sprint 0B</t>
        </is>
      </c>
      <c r="B6" s="116" t="inlineStr">
        <is>
          <t>Event bus + realtime + PWA + Resend + KB</t>
        </is>
      </c>
      <c r="C6" s="85" t="n"/>
      <c r="D6" s="85" t="n"/>
      <c r="E6" s="117" t="n"/>
      <c r="F6" s="117" t="n"/>
      <c r="G6" s="85" t="n"/>
      <c r="H6" s="85" t="n"/>
      <c r="I6" s="85" t="n"/>
      <c r="J6" s="85" t="n"/>
      <c r="K6" s="85" t="n"/>
      <c r="L6" s="85" t="n"/>
      <c r="M6" s="85" t="n"/>
      <c r="N6" s="8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</row>
    <row r="7" ht="15" customHeight="1" s="69">
      <c r="A7" s="115" t="inlineStr">
        <is>
          <t>Sprint 1</t>
        </is>
      </c>
      <c r="B7" s="116" t="inlineStr">
        <is>
          <t>Onboarding + customer hub (M1)</t>
        </is>
      </c>
      <c r="C7" s="85" t="n"/>
      <c r="D7" s="85" t="n"/>
      <c r="E7" s="85" t="n"/>
      <c r="F7" s="85" t="n"/>
      <c r="G7" s="118" t="n"/>
      <c r="H7" s="118" t="n"/>
      <c r="I7" s="85" t="n"/>
      <c r="J7" s="85" t="n"/>
      <c r="K7" s="85" t="n"/>
      <c r="L7" s="85" t="n"/>
      <c r="M7" s="85" t="n"/>
      <c r="N7" s="8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</row>
    <row r="8" ht="15" customHeight="1" s="69">
      <c r="A8" s="115" t="inlineStr">
        <is>
          <t>Sprint 2</t>
        </is>
      </c>
      <c r="B8" s="116" t="inlineStr">
        <is>
          <t>Native PM + time tracking (M7, M8)</t>
        </is>
      </c>
      <c r="C8" s="85" t="n"/>
      <c r="D8" s="85" t="n"/>
      <c r="E8" s="85" t="n"/>
      <c r="F8" s="85" t="n"/>
      <c r="G8" s="85" t="n"/>
      <c r="H8" s="85" t="n"/>
      <c r="I8" s="118" t="n"/>
      <c r="J8" s="118" t="n"/>
      <c r="K8" s="85" t="n"/>
      <c r="L8" s="85" t="n"/>
      <c r="M8" s="85" t="n"/>
      <c r="N8" s="8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</row>
    <row r="9" ht="15" customHeight="1" s="69">
      <c r="A9" s="115" t="inlineStr">
        <is>
          <t>Sprint 3</t>
        </is>
      </c>
      <c r="B9" s="116" t="inlineStr">
        <is>
          <t>Desk + classification + dev dashboard (M2, M9)</t>
        </is>
      </c>
      <c r="C9" s="85" t="n"/>
      <c r="D9" s="85" t="n"/>
      <c r="E9" s="85" t="n"/>
      <c r="F9" s="85" t="n"/>
      <c r="G9" s="85" t="n"/>
      <c r="H9" s="85" t="n"/>
      <c r="I9" s="85" t="n"/>
      <c r="J9" s="85" t="n"/>
      <c r="K9" s="118" t="n"/>
      <c r="L9" s="118" t="n"/>
      <c r="M9" s="85" t="n"/>
      <c r="N9" s="85" t="n"/>
      <c r="O9" s="85" t="n"/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  <c r="Z9" s="85" t="n"/>
      <c r="AA9" s="85" t="n"/>
      <c r="AB9" s="85" t="n"/>
      <c r="AC9" s="85" t="n"/>
      <c r="AD9" s="85" t="n"/>
      <c r="AE9" s="85" t="n"/>
      <c r="AF9" s="85" t="n"/>
      <c r="AG9" s="85" t="n"/>
      <c r="AH9" s="85" t="n"/>
      <c r="AI9" s="85" t="n"/>
      <c r="AJ9" s="85" t="n"/>
      <c r="AK9" s="85" t="n"/>
      <c r="AL9" s="85" t="n"/>
      <c r="AM9" s="85" t="n"/>
    </row>
    <row r="10" ht="15" customHeight="1" s="69">
      <c r="A10" s="115" t="inlineStr">
        <is>
          <t>Sprint 4</t>
        </is>
      </c>
      <c r="B10" s="116" t="inlineStr">
        <is>
          <t>Directory + attendance + announcements (M11)</t>
        </is>
      </c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119" t="n"/>
      <c r="N10" s="119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</row>
    <row r="11" ht="15" customHeight="1" s="69">
      <c r="A11" s="115" t="inlineStr">
        <is>
          <t>Sprint 5</t>
        </is>
      </c>
      <c r="B11" s="116" t="inlineStr">
        <is>
          <t>Leaves + timesheets + push (M11)</t>
        </is>
      </c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119" t="n"/>
      <c r="P11" s="119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</row>
    <row r="12" ht="15" customHeight="1" s="69">
      <c r="A12" s="115" t="inlineStr">
        <is>
          <t>Sprint 6</t>
        </is>
      </c>
      <c r="B12" s="116" t="inlineStr">
        <is>
          <t>Assessment + digest + stats page (M3, M4, M14)</t>
        </is>
      </c>
      <c r="C12" s="85" t="n"/>
      <c r="D12" s="85" t="n"/>
      <c r="E12" s="85" t="n"/>
      <c r="F12" s="85" t="n"/>
      <c r="G12" s="85" t="n"/>
      <c r="H12" s="85" t="n"/>
      <c r="I12" s="85" t="n"/>
      <c r="J12" s="85" t="n"/>
      <c r="K12" s="85" t="n"/>
      <c r="L12" s="85" t="n"/>
      <c r="M12" s="85" t="n"/>
      <c r="N12" s="85" t="n"/>
      <c r="O12" s="85" t="n"/>
      <c r="P12" s="85" t="n"/>
      <c r="Q12" s="120" t="n"/>
      <c r="R12" s="120" t="n"/>
      <c r="S12" s="85" t="n"/>
      <c r="T12" s="85" t="n"/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</row>
    <row r="13" ht="15" customHeight="1" s="69">
      <c r="A13" s="115" t="inlineStr">
        <is>
          <t>Sprint 7</t>
        </is>
      </c>
      <c r="B13" s="116" t="inlineStr">
        <is>
          <t>Plans + Ops Chat v1 + KB seed (M5, M13, M10)</t>
        </is>
      </c>
      <c r="C13" s="85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85" t="n"/>
      <c r="S13" s="120" t="n"/>
      <c r="T13" s="120" t="n"/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</row>
    <row r="14" ht="15" customHeight="1" s="69">
      <c r="A14" s="115" t="inlineStr">
        <is>
          <t>Sprint 8</t>
        </is>
      </c>
      <c r="B14" s="116" t="inlineStr">
        <is>
          <t>Execution + publish flow + reply + chat complete (M6, M13)</t>
        </is>
      </c>
      <c r="C14" s="85" t="n"/>
      <c r="D14" s="85" t="n"/>
      <c r="E14" s="85" t="n"/>
      <c r="F14" s="85" t="n"/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120" t="n"/>
      <c r="V14" s="120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</row>
    <row r="15" ht="15" customHeight="1" s="69">
      <c r="A15" s="115" t="inlineStr">
        <is>
          <t>Sprint 9</t>
        </is>
      </c>
      <c r="B15" s="116" t="inlineStr">
        <is>
          <t>Zoho migration + training + MVP exit (M12)</t>
        </is>
      </c>
      <c r="C15" s="85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121" t="n"/>
      <c r="X15" s="121" t="n"/>
      <c r="Y15" s="85" t="n"/>
      <c r="Z15" s="85" t="n"/>
      <c r="AA15" s="85" t="n"/>
      <c r="AB15" s="85" t="n"/>
      <c r="AC15" s="85" t="n"/>
      <c r="AD15" s="85" t="n"/>
      <c r="AE15" s="85" t="n"/>
      <c r="AF15" s="85" t="n"/>
      <c r="AG15" s="85" t="n"/>
      <c r="AH15" s="85" t="n"/>
      <c r="AI15" s="85" t="n"/>
      <c r="AJ15" s="85" t="n"/>
      <c r="AK15" s="85" t="n"/>
      <c r="AL15" s="85" t="n"/>
      <c r="AM15" s="85" t="n"/>
    </row>
    <row r="16" ht="15" customHeight="1" s="69">
      <c r="A16" s="115" t="inlineStr">
        <is>
          <t>Sprint 10</t>
        </is>
      </c>
      <c r="B16" s="116" t="inlineStr">
        <is>
          <t>Automation toggle + new task types</t>
        </is>
      </c>
      <c r="C16" s="85" t="n"/>
      <c r="D16" s="85" t="n"/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122" t="n"/>
      <c r="Z16" s="122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</row>
    <row r="17" ht="15" customHeight="1" s="69">
      <c r="A17" s="115" t="inlineStr">
        <is>
          <t>Sprint 11</t>
        </is>
      </c>
      <c r="B17" s="116" t="inlineStr">
        <is>
          <t>Chat actions + playbook library</t>
        </is>
      </c>
      <c r="C17" s="85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  <c r="AA17" s="122" t="n"/>
      <c r="AB17" s="122" t="n"/>
      <c r="AC17" s="85" t="n"/>
      <c r="AD17" s="85" t="n"/>
      <c r="AE17" s="85" t="n"/>
      <c r="AF17" s="85" t="n"/>
      <c r="AG17" s="85" t="n"/>
      <c r="AH17" s="85" t="n"/>
      <c r="AI17" s="85" t="n"/>
      <c r="AJ17" s="85" t="n"/>
      <c r="AK17" s="85" t="n"/>
      <c r="AL17" s="85" t="n"/>
      <c r="AM17" s="85" t="n"/>
    </row>
    <row r="18" ht="15" customHeight="1" s="69">
      <c r="A18" s="115" t="inlineStr">
        <is>
          <t>Sprint 12</t>
        </is>
      </c>
      <c r="B18" s="116" t="inlineStr">
        <is>
          <t>Circuit breaker + reporting</t>
        </is>
      </c>
      <c r="C18" s="85" t="n"/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  <c r="AA18" s="85" t="n"/>
      <c r="AB18" s="85" t="n"/>
      <c r="AC18" s="122" t="n"/>
      <c r="AD18" s="122" t="n"/>
      <c r="AE18" s="85" t="n"/>
      <c r="AF18" s="85" t="n"/>
      <c r="AG18" s="85" t="n"/>
      <c r="AH18" s="85" t="n"/>
      <c r="AI18" s="85" t="n"/>
      <c r="AJ18" s="85" t="n"/>
      <c r="AK18" s="85" t="n"/>
      <c r="AL18" s="85" t="n"/>
      <c r="AM18" s="85" t="n"/>
    </row>
    <row r="19" ht="15" customHeight="1" s="69">
      <c r="A19" s="115" t="inlineStr">
        <is>
          <t>Sprint 13</t>
        </is>
      </c>
      <c r="B19" s="116" t="inlineStr">
        <is>
          <t>Phase 2 exit gate</t>
        </is>
      </c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122" t="n"/>
      <c r="AF19" s="122" t="n"/>
      <c r="AG19" s="85" t="n"/>
      <c r="AH19" s="85" t="n"/>
      <c r="AI19" s="85" t="n"/>
      <c r="AJ19" s="85" t="n"/>
      <c r="AK19" s="85" t="n"/>
      <c r="AL19" s="85" t="n"/>
      <c r="AM19" s="85" t="n"/>
    </row>
    <row r="20" ht="15" customHeight="1" s="69">
      <c r="A20" s="115" t="inlineStr">
        <is>
          <t>Sprint 14</t>
        </is>
      </c>
      <c r="B20" s="116" t="inlineStr">
        <is>
          <t>Leave-aware round-robin</t>
        </is>
      </c>
      <c r="C20" s="85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  <c r="AA20" s="85" t="n"/>
      <c r="AB20" s="85" t="n"/>
      <c r="AC20" s="85" t="n"/>
      <c r="AD20" s="85" t="n"/>
      <c r="AE20" s="85" t="n"/>
      <c r="AF20" s="85" t="n"/>
      <c r="AG20" s="123" t="n"/>
      <c r="AH20" s="123" t="n"/>
      <c r="AI20" s="85" t="n"/>
      <c r="AJ20" s="85" t="n"/>
      <c r="AK20" s="85" t="n"/>
      <c r="AL20" s="85" t="n"/>
      <c r="AM20" s="85" t="n"/>
    </row>
    <row r="21" ht="15" customHeight="1" s="69">
      <c r="A21" s="115" t="inlineStr">
        <is>
          <t>Sprint 15</t>
        </is>
      </c>
      <c r="B21" s="116" t="inlineStr">
        <is>
          <t>Multi-dev + workload balancing</t>
        </is>
      </c>
      <c r="C21" s="85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123" t="n"/>
      <c r="AJ21" s="123" t="n"/>
      <c r="AK21" s="85" t="n"/>
      <c r="AL21" s="85" t="n"/>
      <c r="AM21" s="85" t="n"/>
    </row>
    <row r="22" ht="15" customHeight="1" s="69">
      <c r="A22" s="115" t="inlineStr">
        <is>
          <t>Sprint 16</t>
        </is>
      </c>
      <c r="B22" s="116" t="inlineStr">
        <is>
          <t>Calibration + wiki health</t>
        </is>
      </c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  <c r="AA22" s="85" t="n"/>
      <c r="AB22" s="85" t="n"/>
      <c r="AC22" s="85" t="n"/>
      <c r="AD22" s="85" t="n"/>
      <c r="AE22" s="85" t="n"/>
      <c r="AF22" s="85" t="n"/>
      <c r="AG22" s="85" t="n"/>
      <c r="AH22" s="85" t="n"/>
      <c r="AI22" s="85" t="n"/>
      <c r="AJ22" s="85" t="n"/>
      <c r="AK22" s="123" t="n"/>
      <c r="AL22" s="123" t="n"/>
      <c r="AM22" s="85" t="n"/>
    </row>
    <row r="23" ht="15" customHeight="1" s="69">
      <c r="A23" s="115" t="inlineStr">
        <is>
          <t>Sprint 17</t>
        </is>
      </c>
      <c r="B23" s="116" t="inlineStr">
        <is>
          <t>Gap closure + Phase 3 exit</t>
        </is>
      </c>
      <c r="C23" s="85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85" t="n"/>
      <c r="Z23" s="85" t="n"/>
      <c r="AA23" s="85" t="n"/>
      <c r="AB23" s="85" t="n"/>
      <c r="AC23" s="85" t="n"/>
      <c r="AD23" s="85" t="n"/>
      <c r="AE23" s="85" t="n"/>
      <c r="AF23" s="85" t="n"/>
      <c r="AG23" s="85" t="n"/>
      <c r="AH23" s="85" t="n"/>
      <c r="AI23" s="85" t="n"/>
      <c r="AJ23" s="85" t="n"/>
      <c r="AK23" s="85" t="n"/>
      <c r="AL23" s="85" t="n"/>
      <c r="AM23" s="123" t="n"/>
      <c r="AN23" s="124" t="n"/>
    </row>
    <row r="25" ht="15" customHeight="1" s="69">
      <c r="B25" s="125" t="inlineStr">
        <is>
          <t>Legend:</t>
        </is>
      </c>
      <c r="C25" s="126" t="inlineStr">
        <is>
          <t>0</t>
        </is>
      </c>
      <c r="E25" s="127" t="inlineStr">
        <is>
          <t>1A</t>
        </is>
      </c>
      <c r="G25" s="128" t="inlineStr">
        <is>
          <t>1B</t>
        </is>
      </c>
      <c r="I25" s="129" t="inlineStr">
        <is>
          <t>1C</t>
        </is>
      </c>
      <c r="K25" s="130" t="inlineStr">
        <is>
          <t>1D</t>
        </is>
      </c>
      <c r="M25" s="131" t="inlineStr">
        <is>
          <t>2</t>
        </is>
      </c>
      <c r="O25" s="132" t="inlineStr">
        <is>
          <t>3</t>
        </is>
      </c>
      <c r="Q25" s="133" t="inlineStr">
        <is>
          <t>Week 22 = MVP exit (red header)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8" min="1" max="1"/>
    <col width="62" customWidth="1" style="68" min="2" max="2"/>
    <col width="12" customWidth="1" style="68" min="3" max="3"/>
    <col width="10" customWidth="1" style="68" min="4" max="4"/>
    <col width="14" customWidth="1" style="68" min="5" max="5"/>
    <col width="12" customWidth="1" style="68" min="6" max="6"/>
  </cols>
  <sheetData>
    <row r="1" ht="19.7" customHeight="1" s="69">
      <c r="A1" s="70" t="inlineStr">
        <is>
          <t>Open Items — must-resolve-by sprint gates</t>
        </is>
      </c>
    </row>
    <row r="4" ht="15" customHeight="1" s="69">
      <c r="A4" s="72" t="inlineStr">
        <is>
          <t>#</t>
        </is>
      </c>
      <c r="B4" s="72" t="inlineStr">
        <is>
          <t>Item</t>
        </is>
      </c>
      <c r="C4" s="72" t="inlineStr">
        <is>
          <t>Owner</t>
        </is>
      </c>
      <c r="D4" s="72" t="inlineStr">
        <is>
          <t>Priority</t>
        </is>
      </c>
      <c r="E4" s="72" t="inlineStr">
        <is>
          <t>Resolve before</t>
        </is>
      </c>
      <c r="F4" s="72" t="inlineStr">
        <is>
          <t>Status</t>
        </is>
      </c>
    </row>
    <row r="5" ht="15" customHeight="1" s="69">
      <c r="A5" s="134" t="inlineStr">
        <is>
          <t>O1</t>
        </is>
      </c>
      <c r="B5" s="106" t="inlineStr">
        <is>
          <t>Final Task Type Taxonomy incl. HR_REQUEST sub-types</t>
        </is>
      </c>
      <c r="C5" s="135" t="inlineStr">
        <is>
          <t>PM + HR</t>
        </is>
      </c>
      <c r="D5" s="136" t="inlineStr">
        <is>
          <t>HIGH</t>
        </is>
      </c>
      <c r="E5" s="135" t="inlineStr">
        <is>
          <t>Sprint 3</t>
        </is>
      </c>
      <c r="F5" s="135" t="inlineStr">
        <is>
          <t>Open</t>
        </is>
      </c>
    </row>
    <row r="6" ht="15" customHeight="1" s="69">
      <c r="A6" s="134" t="inlineStr">
        <is>
          <t>O2</t>
        </is>
      </c>
      <c r="B6" s="106" t="inlineStr">
        <is>
          <t>Leave accrual rules + opening balance sign-off (per employee)</t>
        </is>
      </c>
      <c r="C6" s="135" t="inlineStr">
        <is>
          <t>HR</t>
        </is>
      </c>
      <c r="D6" s="136" t="inlineStr">
        <is>
          <t>HIGH</t>
        </is>
      </c>
      <c r="E6" s="135" t="inlineStr">
        <is>
          <t>Sprint 5</t>
        </is>
      </c>
      <c r="F6" s="135" t="inlineStr">
        <is>
          <t>Open</t>
        </is>
      </c>
    </row>
    <row r="7" ht="15" customHeight="1" s="69">
      <c r="A7" s="134" t="inlineStr">
        <is>
          <t>O3</t>
        </is>
      </c>
      <c r="B7" s="106" t="inlineStr">
        <is>
          <t>Attendance policy: grace period, geolocation on/off, correction window</t>
        </is>
      </c>
      <c r="C7" s="135" t="inlineStr">
        <is>
          <t>HR + Mgmt</t>
        </is>
      </c>
      <c r="D7" s="136" t="inlineStr">
        <is>
          <t>HIGH</t>
        </is>
      </c>
      <c r="E7" s="135" t="inlineStr">
        <is>
          <t>Sprint 4</t>
        </is>
      </c>
      <c r="F7" s="135" t="inlineStr">
        <is>
          <t>Open</t>
        </is>
      </c>
    </row>
    <row r="8" ht="15" customHeight="1" s="69">
      <c r="A8" s="134" t="inlineStr">
        <is>
          <t>O4</t>
        </is>
      </c>
      <c r="B8" s="106" t="inlineStr">
        <is>
          <t>Support email address + Resend Inbound domain setup</t>
        </is>
      </c>
      <c r="C8" s="135" t="inlineStr">
        <is>
          <t>Dev</t>
        </is>
      </c>
      <c r="D8" s="136" t="inlineStr">
        <is>
          <t>HIGH</t>
        </is>
      </c>
      <c r="E8" s="135" t="inlineStr">
        <is>
          <t>Sprint 3</t>
        </is>
      </c>
      <c r="F8" s="135" t="inlineStr">
        <is>
          <t>Open</t>
        </is>
      </c>
    </row>
    <row r="9" ht="15" customHeight="1" s="69">
      <c r="A9" s="134" t="inlineStr">
        <is>
          <t>O5</t>
        </is>
      </c>
      <c r="B9" s="106" t="inlineStr">
        <is>
          <t>Zoho API export access for all five products (before licenses lapse)</t>
        </is>
      </c>
      <c r="C9" s="135" t="inlineStr">
        <is>
          <t>Admin</t>
        </is>
      </c>
      <c r="D9" s="136" t="inlineStr">
        <is>
          <t>HIGH</t>
        </is>
      </c>
      <c r="E9" s="135" t="inlineStr">
        <is>
          <t>Sprint 0A</t>
        </is>
      </c>
      <c r="F9" s="135" t="inlineStr">
        <is>
          <t>Open</t>
        </is>
      </c>
    </row>
    <row r="10" ht="15" customHeight="1" s="69">
      <c r="A10" s="134" t="inlineStr">
        <is>
          <t>O6</t>
        </is>
      </c>
      <c r="B10" s="106" t="inlineStr">
        <is>
          <t>SLA matrix per priority for the Desk</t>
        </is>
      </c>
      <c r="C10" s="135" t="inlineStr">
        <is>
          <t>PM</t>
        </is>
      </c>
      <c r="D10" s="135" t="inlineStr">
        <is>
          <t>MEDIUM</t>
        </is>
      </c>
      <c r="E10" s="135" t="inlineStr">
        <is>
          <t>Sprint 3</t>
        </is>
      </c>
      <c r="F10" s="135" t="inlineStr">
        <is>
          <t>Open</t>
        </is>
      </c>
    </row>
    <row r="11" ht="15" customHeight="1" s="69">
      <c r="A11" s="134" t="inlineStr">
        <is>
          <t>O7</t>
        </is>
      </c>
      <c r="B11" s="106" t="inlineStr">
        <is>
          <t>Notification preference defaults per role</t>
        </is>
      </c>
      <c r="C11" s="135" t="inlineStr">
        <is>
          <t>PM</t>
        </is>
      </c>
      <c r="D11" s="135" t="inlineStr">
        <is>
          <t>MEDIUM</t>
        </is>
      </c>
      <c r="E11" s="135" t="inlineStr">
        <is>
          <t>Sprint 3</t>
        </is>
      </c>
      <c r="F11" s="135" t="inlineStr">
        <is>
          <t>Open</t>
        </is>
      </c>
    </row>
    <row r="12" ht="15" customHeight="1" s="69">
      <c r="A12" s="134" t="inlineStr">
        <is>
          <t>O8</t>
        </is>
      </c>
      <c r="B12" s="106" t="inlineStr">
        <is>
          <t>PH holiday calendar 2026–2027 seed data</t>
        </is>
      </c>
      <c r="C12" s="135" t="inlineStr">
        <is>
          <t>HR</t>
        </is>
      </c>
      <c r="D12" s="135" t="inlineStr">
        <is>
          <t>MEDIUM</t>
        </is>
      </c>
      <c r="E12" s="135" t="inlineStr">
        <is>
          <t>Sprint 4</t>
        </is>
      </c>
      <c r="F12" s="135" t="inlineStr">
        <is>
          <t>Open</t>
        </is>
      </c>
    </row>
    <row r="13" ht="15" customHeight="1" s="69">
      <c r="A13" s="134" t="inlineStr">
        <is>
          <t>O9</t>
        </is>
      </c>
      <c r="B13" s="106" t="inlineStr">
        <is>
          <t>Client portal auth mode: magic link only vs optional password</t>
        </is>
      </c>
      <c r="C13" s="135" t="inlineStr">
        <is>
          <t>PM</t>
        </is>
      </c>
      <c r="D13" s="135" t="inlineStr">
        <is>
          <t>MEDIUM</t>
        </is>
      </c>
      <c r="E13" s="135" t="inlineStr">
        <is>
          <t>Sprint 3</t>
        </is>
      </c>
      <c r="F13" s="135" t="inlineStr">
        <is>
          <t>Open</t>
        </is>
      </c>
    </row>
    <row r="14" ht="15" customHeight="1" s="69">
      <c r="A14" s="134" t="inlineStr">
        <is>
          <t>O10</t>
        </is>
      </c>
      <c r="B14" s="106" t="inlineStr">
        <is>
          <t>1B/1C parallel workstreams vs sequential (staffing)</t>
        </is>
      </c>
      <c r="C14" s="135" t="inlineStr">
        <is>
          <t>Mgmt</t>
        </is>
      </c>
      <c r="D14" s="135" t="inlineStr">
        <is>
          <t>MEDIUM</t>
        </is>
      </c>
      <c r="E14" s="135" t="inlineStr">
        <is>
          <t>Before Sprint 4</t>
        </is>
      </c>
      <c r="F14" s="135" t="inlineStr">
        <is>
          <t>Open</t>
        </is>
      </c>
    </row>
    <row r="15" ht="15" customHeight="1" s="69">
      <c r="A15" s="134" t="inlineStr">
        <is>
          <t>O11</t>
        </is>
      </c>
      <c r="B15" s="106" t="inlineStr">
        <is>
          <t>Round-robin load threshold defaults</t>
        </is>
      </c>
      <c r="C15" s="135" t="inlineStr">
        <is>
          <t>PM</t>
        </is>
      </c>
      <c r="D15" s="135" t="inlineStr">
        <is>
          <t>MEDIUM</t>
        </is>
      </c>
      <c r="E15" s="135" t="inlineStr">
        <is>
          <t>Sprint 14</t>
        </is>
      </c>
      <c r="F15" s="135" t="inlineStr">
        <is>
          <t>Open</t>
        </is>
      </c>
    </row>
    <row r="16" ht="23.85" customHeight="1" s="69">
      <c r="A16" s="134" t="inlineStr">
        <is>
          <t>O12</t>
        </is>
      </c>
      <c r="B16" s="106" t="inlineStr">
        <is>
          <t>Zoho -&gt; Hub task status &amp; priority mapping table reviewed + signed off by PM before migration dry run (data fidelity)</t>
        </is>
      </c>
      <c r="C16" s="135" t="inlineStr">
        <is>
          <t>PM</t>
        </is>
      </c>
      <c r="D16" s="136" t="inlineStr">
        <is>
          <t>HIGH</t>
        </is>
      </c>
      <c r="E16" s="135" t="inlineStr">
        <is>
          <t>Sprint 9</t>
        </is>
      </c>
      <c r="F16" s="135" t="inlineStr">
        <is>
          <t>Open</t>
        </is>
      </c>
    </row>
  </sheetData>
  <dataValidations count="1">
    <dataValidation sqref="F5:F16" showDropDown="0" showInputMessage="0" showErrorMessage="0" allowBlank="0" type="list" errorStyle="stop" operator="between">
      <formula1>"Open,In Progress,Resolved"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2026-06-11T09:34:56Z</dcterms:created>
  <dcterms:modified xsi:type="dcterms:W3CDTF">2026-06-11T10:01:45Z</dcterms:modified>
  <cp:revision>0</cp:revision>
</cp:coreProperties>
</file>